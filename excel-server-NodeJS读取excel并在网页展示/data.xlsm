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omments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24226"/>
  <mc:AlternateContent xmlns:mc="http://schemas.openxmlformats.org/markup-compatibility/2006">
    <mc:Choice Requires="x15">
      <x15ac:absPath xmlns:x15ac="http://schemas.microsoft.com/office/spreadsheetml/2010/11/ac" url="C:\Users\wingxu\Documents\6.3-广州-25CHN-0810962-广州金仕龙箱包厂\"/>
    </mc:Choice>
  </mc:AlternateContent>
  <xr:revisionPtr revIDLastSave="0" documentId="13_ncr:1_{CBC229C1-0DA7-45C4-AA70-13FC5D88F80C}" xr6:coauthVersionLast="47" xr6:coauthVersionMax="47" xr10:uidLastSave="{00000000-0000-0000-0000-000000000000}"/>
  <bookViews>
    <workbookView xWindow="-110" yWindow="-110" windowWidth="19420" windowHeight="10420" tabRatio="903" firstSheet="3" activeTab="9" xr2:uid="{00000000-000D-0000-FFFF-FFFF00000000}"/>
  </bookViews>
  <sheets>
    <sheet name="Pre Audit Dos" sheetId="44" r:id="rId1"/>
    <sheet name="DE Background Information" sheetId="48" r:id="rId2"/>
    <sheet name="DE Business Activities" sheetId="36" state="hidden" r:id="rId3"/>
    <sheet name="DE Production Structure" sheetId="37" r:id="rId4"/>
    <sheet name="DE Employment Structure" sheetId="38" r:id="rId5"/>
    <sheet name="Interviews evidence" sheetId="18" state="hidden" r:id="rId6"/>
    <sheet name="General information" sheetId="10" r:id="rId7"/>
    <sheet name="Main auditee" sheetId="42" r:id="rId8"/>
    <sheet name="uniform" sheetId="56" r:id="rId9"/>
    <sheet name="Reference" sheetId="63" r:id="rId10"/>
    <sheet name="blw" sheetId="64" r:id="rId11"/>
    <sheet name="Drop down" sheetId="2" state="hidden" r:id="rId12"/>
  </sheets>
  <functionGroups builtInGroupCount="19"/>
  <definedNames>
    <definedName name="_xlnm._FilterDatabase" localSheetId="7" hidden="1">'Main auditee'!$E$1:$E$4958</definedName>
    <definedName name="_Hlk89178409" localSheetId="9">Reference!$B$568</definedName>
    <definedName name="_xleta.CODE" hidden="1" xlm="1">#NAME?</definedName>
    <definedName name="_xleta.IF" hidden="1" xlm="1">#NAME?</definedName>
    <definedName name="_xleta.MONTH" hidden="1" xlm="1">#NAME?</definedName>
    <definedName name="_xleta.NOT" hidden="1" xlm="1">#NAME?</definedName>
    <definedName name="_xleta.PRICE" hidden="1" xlm="1">#NAME?</definedName>
    <definedName name="_xleta.T" hidden="1" xlm="1">#NAME?</definedName>
    <definedName name="aid">'Pre Audit Dos'!$D$2</definedName>
    <definedName name="auditType" localSheetId="0">'Pre Audit Dos'!$D$3</definedName>
    <definedName name="BLaddress">'Pre Audit Dos'!$H$5</definedName>
    <definedName name="closeMeetingTime">'Pre Audit Dos'!$D$11</definedName>
    <definedName name="Cooperative" localSheetId="2">'Drop down'!#REF!</definedName>
    <definedName name="Enaddress">'Pre Audit Dos'!$H$3</definedName>
    <definedName name="farms" localSheetId="2">'Drop down'!#REF!</definedName>
    <definedName name="ftyCity">'Pre Audit Dos'!$D$5</definedName>
    <definedName name="ftyCNname">'Pre Audit Dos'!$H$4</definedName>
    <definedName name="ftyENname">'Pre Audit Dos'!$H$2</definedName>
    <definedName name="fuScope">'Pre Audit Dos'!$D$4</definedName>
    <definedName name="ONESIX" localSheetId="2">#REF!</definedName>
    <definedName name="Onsite">'Pre Audit Dos'!$E$10</definedName>
    <definedName name="openMeetingTime">'Pre Audit Dos'!$C$11</definedName>
    <definedName name="payday">uniform!$C$33</definedName>
    <definedName name="_xlnm.Print_Area" localSheetId="2">'DE Business Activities'!$A$1:$P$33</definedName>
    <definedName name="samplingMonth">uniform!$C$64</definedName>
    <definedName name="shift">uniform!$C$52</definedName>
    <definedName name="timeRecordingDevice">uniform!$C$57</definedName>
    <definedName name="totalNumberTemp">'Pre Audit Dos'!$D$7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9" i="64" l="1"/>
  <c r="C19" i="64" s="1"/>
  <c r="C20" i="64" s="1"/>
  <c r="A26" i="64"/>
  <c r="A24" i="64"/>
  <c r="C21" i="64"/>
  <c r="C18" i="64"/>
  <c r="C17" i="64"/>
  <c r="D16" i="64"/>
  <c r="C16" i="64"/>
  <c r="D15" i="64"/>
  <c r="C15" i="64"/>
  <c r="D14" i="64"/>
  <c r="C14" i="64"/>
  <c r="D13" i="64"/>
  <c r="C13" i="64"/>
  <c r="C12" i="64"/>
  <c r="B105" i="56" l="1"/>
  <c r="C52" i="56"/>
  <c r="B66" i="56" s="1"/>
  <c r="B62" i="63"/>
  <c r="B63" i="63"/>
  <c r="E27" i="56"/>
  <c r="H25" i="48"/>
  <c r="B140" i="56" l="1"/>
  <c r="B141" i="56"/>
  <c r="B133" i="56"/>
  <c r="B132" i="56"/>
  <c r="N3" i="37"/>
  <c r="G52" i="56"/>
  <c r="B67" i="56" s="1"/>
  <c r="B64" i="63" l="1"/>
  <c r="B17" i="56"/>
  <c r="B65" i="63"/>
  <c r="D20" i="42"/>
  <c r="L28" i="56"/>
  <c r="C29" i="56"/>
  <c r="C28" i="56"/>
  <c r="F4" i="44"/>
  <c r="B5" i="56"/>
  <c r="B162" i="56"/>
  <c r="B154" i="56"/>
  <c r="B153" i="56"/>
  <c r="B136" i="56"/>
  <c r="B137" i="56"/>
  <c r="E84" i="56"/>
  <c r="B86" i="56" s="1"/>
  <c r="D116" i="56"/>
  <c r="H76" i="56"/>
  <c r="B120" i="63" s="1"/>
  <c r="E57" i="56"/>
  <c r="B18" i="36"/>
  <c r="D18" i="36" s="1"/>
  <c r="F26" i="36"/>
  <c r="F20" i="36"/>
  <c r="D3" i="36"/>
  <c r="F25" i="38"/>
  <c r="F24" i="38"/>
  <c r="F23" i="38"/>
  <c r="F22" i="38"/>
  <c r="B18" i="56"/>
  <c r="H41" i="38"/>
  <c r="F41" i="38" s="1"/>
  <c r="F49" i="38" s="1"/>
  <c r="B106" i="56"/>
  <c r="J11" i="44"/>
  <c r="B169" i="56"/>
  <c r="B168" i="56"/>
  <c r="B163" i="56"/>
  <c r="B109" i="56"/>
  <c r="B85" i="56"/>
  <c r="E3" i="56"/>
  <c r="Q13" i="42"/>
  <c r="F13" i="42" s="1"/>
  <c r="Q129" i="42"/>
  <c r="F50" i="38"/>
  <c r="F43" i="38"/>
  <c r="D23" i="56"/>
  <c r="B23" i="56"/>
  <c r="B30" i="56" s="1"/>
  <c r="E2" i="56"/>
  <c r="S33" i="42"/>
  <c r="Q33" i="42"/>
  <c r="F33" i="42" s="1"/>
  <c r="S31" i="42"/>
  <c r="Q31" i="42"/>
  <c r="F31" i="42" s="1"/>
  <c r="S30" i="42"/>
  <c r="Q30" i="42"/>
  <c r="F30" i="42" s="1"/>
  <c r="S117" i="42"/>
  <c r="Q117" i="42"/>
  <c r="F25" i="36"/>
  <c r="S228" i="42"/>
  <c r="Q228" i="42"/>
  <c r="S227" i="42"/>
  <c r="Q227" i="42"/>
  <c r="F227" i="42" s="1"/>
  <c r="S193" i="42"/>
  <c r="Q193" i="42"/>
  <c r="S192" i="42"/>
  <c r="Q192" i="42"/>
  <c r="F192" i="42" s="1"/>
  <c r="S82" i="42"/>
  <c r="Q82" i="42"/>
  <c r="Q137" i="42"/>
  <c r="S133" i="42"/>
  <c r="Q133" i="42"/>
  <c r="F133" i="42" s="1"/>
  <c r="S125" i="42"/>
  <c r="Q125" i="42"/>
  <c r="Q121" i="42"/>
  <c r="S119" i="42"/>
  <c r="Q119" i="42"/>
  <c r="S122" i="42"/>
  <c r="Q122" i="42"/>
  <c r="F122" i="42" s="1"/>
  <c r="S129" i="42"/>
  <c r="C12" i="48"/>
  <c r="S84" i="42"/>
  <c r="Q84" i="42"/>
  <c r="F84" i="42" s="1"/>
  <c r="E96" i="56"/>
  <c r="B198" i="63"/>
  <c r="B193" i="63"/>
  <c r="B200" i="63"/>
  <c r="B195" i="63"/>
  <c r="S244" i="42"/>
  <c r="Q244" i="42"/>
  <c r="S126" i="42"/>
  <c r="Q126" i="42"/>
  <c r="F126" i="42" s="1"/>
  <c r="B467" i="63"/>
  <c r="B469" i="63"/>
  <c r="F11" i="42"/>
  <c r="E36" i="38"/>
  <c r="C38" i="56" s="1"/>
  <c r="F42" i="56" s="1"/>
  <c r="B47" i="56" s="1"/>
  <c r="H52" i="38"/>
  <c r="H43" i="38" a="1"/>
  <c r="H43" i="38" s="1"/>
  <c r="H50" i="38" a="1"/>
  <c r="H50" i="38" s="1"/>
  <c r="H48" i="38"/>
  <c r="H47" i="38"/>
  <c r="H46" i="38"/>
  <c r="H45" i="38"/>
  <c r="H44" i="38"/>
  <c r="H42" i="38"/>
  <c r="F245" i="42"/>
  <c r="F243" i="42"/>
  <c r="F226" i="42"/>
  <c r="F229" i="42"/>
  <c r="F225" i="42"/>
  <c r="F209" i="42"/>
  <c r="F210" i="42"/>
  <c r="F208" i="42"/>
  <c r="F194" i="42"/>
  <c r="F173" i="42"/>
  <c r="F174" i="42"/>
  <c r="F175" i="42"/>
  <c r="F176" i="42"/>
  <c r="F157" i="42"/>
  <c r="F158" i="42"/>
  <c r="F102" i="42"/>
  <c r="F32" i="42"/>
  <c r="F34" i="42"/>
  <c r="F50" i="42"/>
  <c r="F51" i="42"/>
  <c r="F48" i="42"/>
  <c r="F66" i="42"/>
  <c r="F67" i="42"/>
  <c r="F65" i="42"/>
  <c r="F83" i="42"/>
  <c r="F86" i="42"/>
  <c r="F100" i="42"/>
  <c r="F139" i="42"/>
  <c r="F135" i="42"/>
  <c r="F136" i="42"/>
  <c r="F128" i="42"/>
  <c r="F131" i="42"/>
  <c r="F132" i="42"/>
  <c r="F124" i="42"/>
  <c r="F120" i="42"/>
  <c r="F117" i="42"/>
  <c r="C20" i="18"/>
  <c r="C23" i="18" s="1"/>
  <c r="C22" i="18"/>
  <c r="L6" i="37"/>
  <c r="L7" i="37"/>
  <c r="L8" i="37"/>
  <c r="L9" i="37"/>
  <c r="L11" i="37"/>
  <c r="L5" i="37"/>
  <c r="E6" i="37"/>
  <c r="E7" i="37"/>
  <c r="E8" i="37"/>
  <c r="E9" i="37"/>
  <c r="E11" i="37"/>
  <c r="E5" i="37"/>
  <c r="H51" i="38" a="1"/>
  <c r="H51" i="38" s="1"/>
  <c r="E62" i="42"/>
  <c r="E45" i="42"/>
  <c r="S12" i="42"/>
  <c r="Q12" i="42"/>
  <c r="F12" i="42" s="1"/>
  <c r="F125" i="42"/>
  <c r="B110" i="56"/>
  <c r="S141" i="42"/>
  <c r="F244" i="42"/>
  <c r="F129" i="42"/>
  <c r="S140" i="42"/>
  <c r="Q140" i="42"/>
  <c r="F140" i="42" s="1"/>
  <c r="F137" i="42"/>
  <c r="S137" i="42"/>
  <c r="B480" i="63"/>
  <c r="B128" i="63"/>
  <c r="B122" i="63"/>
  <c r="B478" i="63"/>
  <c r="F193" i="42"/>
  <c r="D49" i="38"/>
  <c r="D139" i="56"/>
  <c r="D38" i="56"/>
  <c r="S13" i="42"/>
  <c r="S211" i="42"/>
  <c r="Q211" i="42"/>
  <c r="F211" i="42" s="1"/>
  <c r="S246" i="42"/>
  <c r="Q246" i="42"/>
  <c r="F246" i="42" s="1"/>
  <c r="L5" i="36"/>
  <c r="I5" i="36" s="1"/>
  <c r="I3" i="36"/>
  <c r="Q177" i="42"/>
  <c r="F177" i="42" s="1"/>
  <c r="Q141" i="42"/>
  <c r="F141" i="42" s="1"/>
  <c r="S121" i="42"/>
  <c r="F121" i="42"/>
  <c r="D73" i="42"/>
  <c r="D71" i="42"/>
  <c r="C28" i="18"/>
  <c r="K261" i="42"/>
  <c r="K260" i="42"/>
  <c r="K259" i="42"/>
  <c r="S172" i="42"/>
  <c r="Q172" i="42"/>
  <c r="F172" i="42" s="1"/>
  <c r="H131" i="56"/>
  <c r="S177" i="42"/>
  <c r="S156" i="42"/>
  <c r="S127" i="42"/>
  <c r="Q127" i="42"/>
  <c r="F127" i="42" s="1"/>
  <c r="S134" i="42"/>
  <c r="Q134" i="42"/>
  <c r="F134" i="42" s="1"/>
  <c r="F228" i="42"/>
  <c r="S130" i="42"/>
  <c r="Q130" i="42"/>
  <c r="F130" i="42"/>
  <c r="C26" i="18"/>
  <c r="C4" i="18"/>
  <c r="D10" i="18" s="1"/>
  <c r="S155" i="42"/>
  <c r="Q155" i="42"/>
  <c r="F155" i="42"/>
  <c r="F119" i="42"/>
  <c r="F28" i="36"/>
  <c r="F32" i="36"/>
  <c r="F31" i="36"/>
  <c r="F30" i="36"/>
  <c r="F23" i="56"/>
  <c r="G23" i="56" s="1"/>
  <c r="F82" i="42"/>
  <c r="S138" i="42"/>
  <c r="Q138" i="42"/>
  <c r="F138" i="42"/>
  <c r="L60" i="56"/>
  <c r="L61" i="56"/>
  <c r="L59" i="56"/>
  <c r="C56" i="56"/>
  <c r="C54" i="56"/>
  <c r="G56" i="56"/>
  <c r="Q103" i="42"/>
  <c r="F103" i="42" s="1"/>
  <c r="S103" i="42"/>
  <c r="G54" i="56"/>
  <c r="C59" i="56"/>
  <c r="F191" i="42"/>
  <c r="B147" i="56"/>
  <c r="S191" i="42" s="1"/>
  <c r="B99" i="56"/>
  <c r="B98" i="56"/>
  <c r="J135" i="56"/>
  <c r="B397" i="63" s="1"/>
  <c r="Q156" i="42"/>
  <c r="F156" i="42" s="1"/>
  <c r="D162" i="42" s="1"/>
  <c r="I62" i="56"/>
  <c r="B60" i="56"/>
  <c r="B61" i="56"/>
  <c r="B59" i="56"/>
  <c r="C64" i="56" s="1"/>
  <c r="C60" i="56"/>
  <c r="C61" i="56"/>
  <c r="E28" i="56"/>
  <c r="I28" i="56"/>
  <c r="E29" i="56"/>
  <c r="G29" i="56" s="1"/>
  <c r="K27" i="56"/>
  <c r="C23" i="56"/>
  <c r="G27" i="56"/>
  <c r="I27" i="56"/>
  <c r="G28" i="56"/>
  <c r="M28" i="56" s="1"/>
  <c r="O28" i="56" s="1"/>
  <c r="I29" i="56"/>
  <c r="K28" i="56"/>
  <c r="E62" i="56"/>
  <c r="F19" i="36" s="1"/>
  <c r="AD28" i="2"/>
  <c r="AE28" i="2"/>
  <c r="AD27" i="2"/>
  <c r="AE27" i="2"/>
  <c r="AD26" i="2"/>
  <c r="AE26" i="2"/>
  <c r="AD25" i="2"/>
  <c r="AE25" i="2"/>
  <c r="AD24" i="2"/>
  <c r="AE24" i="2"/>
  <c r="AD23" i="2"/>
  <c r="AE23" i="2"/>
  <c r="AD22" i="2"/>
  <c r="AE22" i="2"/>
  <c r="AD21" i="2"/>
  <c r="AE21" i="2"/>
  <c r="AD20" i="2"/>
  <c r="AE20" i="2"/>
  <c r="AD19" i="2"/>
  <c r="AE19" i="2"/>
  <c r="AD18" i="2"/>
  <c r="AE18" i="2"/>
  <c r="AD17" i="2"/>
  <c r="AE17" i="2"/>
  <c r="AD13" i="2"/>
  <c r="AD12" i="2"/>
  <c r="AD11" i="2"/>
  <c r="AD10" i="2"/>
  <c r="AD9" i="2"/>
  <c r="AD8" i="2"/>
  <c r="AD7" i="2"/>
  <c r="AD6" i="2"/>
  <c r="AD5" i="2"/>
  <c r="AD4" i="2"/>
  <c r="AD3" i="2"/>
  <c r="AD2" i="2"/>
  <c r="C16" i="18"/>
  <c r="Q123" i="42"/>
  <c r="F123" i="42" s="1"/>
  <c r="S123" i="42"/>
  <c r="S10" i="42"/>
  <c r="Q10" i="42"/>
  <c r="E43" i="10"/>
  <c r="E46" i="10" s="1"/>
  <c r="G43" i="10"/>
  <c r="G46" i="10" s="1"/>
  <c r="H23" i="56" l="1"/>
  <c r="B57" i="10"/>
  <c r="E18" i="36"/>
  <c r="E23" i="56"/>
  <c r="E40" i="10"/>
  <c r="G40" i="10" s="1"/>
  <c r="D4" i="18"/>
  <c r="M27" i="56"/>
  <c r="O27" i="56" s="1"/>
  <c r="B68" i="56"/>
  <c r="Q101" i="42" s="1"/>
  <c r="F101" i="42" s="1"/>
  <c r="C65" i="56"/>
  <c r="B69" i="56"/>
  <c r="S101" i="42" s="1"/>
  <c r="D147" i="42"/>
  <c r="S81" i="42"/>
  <c r="Q81" i="42"/>
  <c r="F81" i="42" s="1"/>
  <c r="B126" i="63"/>
  <c r="D16" i="18"/>
  <c r="E10" i="18"/>
  <c r="E13" i="18"/>
  <c r="D215" i="42"/>
  <c r="E205" i="42"/>
  <c r="D217" i="42"/>
  <c r="D145" i="42"/>
  <c r="E114" i="42"/>
  <c r="E240" i="42"/>
  <c r="D252" i="42"/>
  <c r="D200" i="42"/>
  <c r="E188" i="42"/>
  <c r="D235" i="42"/>
  <c r="E222" i="42"/>
  <c r="D233" i="42"/>
  <c r="D164" i="42"/>
  <c r="E169" i="42"/>
  <c r="D183" i="42"/>
  <c r="D181" i="42"/>
  <c r="M29" i="56"/>
  <c r="O29" i="56" s="1"/>
  <c r="D250" i="42"/>
  <c r="B31" i="56"/>
  <c r="E152" i="42"/>
  <c r="I6" i="36"/>
  <c r="K29" i="56"/>
  <c r="B24" i="56"/>
  <c r="B25" i="56"/>
  <c r="D40" i="42"/>
  <c r="E27" i="42"/>
  <c r="D38" i="42"/>
  <c r="E38" i="56"/>
  <c r="G39" i="56" s="1"/>
  <c r="G17" i="42"/>
  <c r="E7" i="42"/>
  <c r="D22" i="42"/>
  <c r="D198" i="42"/>
  <c r="B48" i="56"/>
  <c r="D107" i="42" l="1"/>
  <c r="D106" i="42" s="1"/>
  <c r="D109" i="42"/>
  <c r="E97" i="42"/>
  <c r="I39" i="56"/>
  <c r="F39" i="56"/>
  <c r="H39" i="56"/>
  <c r="J39" i="56"/>
  <c r="B36" i="56" l="1"/>
  <c r="B35" i="56"/>
  <c r="B46" i="56"/>
  <c r="B45" i="56"/>
  <c r="B74" i="56"/>
  <c r="S118" i="42" s="1"/>
  <c r="B43" i="56"/>
  <c r="B44" i="56"/>
  <c r="B50" i="56" l="1"/>
  <c r="S85" i="42" s="1"/>
  <c r="B73" i="56"/>
  <c r="Q118" i="42" s="1"/>
  <c r="B49" i="56"/>
  <c r="Q85" i="42" s="1"/>
  <c r="F85" i="42" s="1"/>
  <c r="D90" i="42" s="1"/>
  <c r="D89" i="42" s="1"/>
  <c r="D92" i="42" l="1"/>
  <c r="F1" i="42" a="1"/>
  <c r="F1" i="42" s="1"/>
  <c r="E78" i="42"/>
  <c r="E1" i="42" s="1"/>
  <c r="K257" i="42"/>
  <c r="I263" i="42" s="1"/>
  <c r="K258"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wingxu</author>
  </authors>
  <commentList>
    <comment ref="B37" authorId="0" shapeId="0" xr:uid="{B7192DDB-6480-4787-AF32-9792544825B4}">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<sst xmlns="http://schemas.openxmlformats.org/spreadsheetml/2006/main" count="2789" uniqueCount="1845">
  <si>
    <t>Number</t>
  </si>
  <si>
    <t>Question</t>
  </si>
  <si>
    <t xml:space="preserve">Is there satisfactory evidence that the auditee manages its business relations in a responsible manner? </t>
  </si>
  <si>
    <t>Is there satisfactory evidence that the auditee has established good management practices that involve workers and their representatives in sound information exchange on workplace issues?</t>
  </si>
  <si>
    <t>Is there satisfactory evidence that the auditee takes specific steps to make workers aware of their rights and responsibilities?</t>
  </si>
  <si>
    <t>Is there satisfactory evidence that the auditee respects workers’ right to bargain collectively?</t>
  </si>
  <si>
    <t>Is there satisfactory evidence of active cooperation between management and workers (and/or their representatives) when developing and implementing systems towards ensuring OHS?</t>
  </si>
  <si>
    <t>Is there satisfactory evidence that the auditee does not engage in illegal child labour directly or indirectly?</t>
  </si>
  <si>
    <t>Training</t>
  </si>
  <si>
    <t>Personal Protective Equipment</t>
  </si>
  <si>
    <t>Chemicals</t>
  </si>
  <si>
    <t>Accident and Emergency Procedures</t>
  </si>
  <si>
    <t>Electricity</t>
  </si>
  <si>
    <t>Escape Routes and Emergency Exits</t>
  </si>
  <si>
    <t>Machine and Vehicle Safety</t>
  </si>
  <si>
    <t>Fire Protection</t>
  </si>
  <si>
    <t>First Aid</t>
  </si>
  <si>
    <t>Findings</t>
  </si>
  <si>
    <t>Performance area 2: Workers Involvement and Protection </t>
  </si>
  <si>
    <t>Performance area 3: The rights of Freedom of Association and Collective Bargaining</t>
  </si>
  <si>
    <t>Performance area 4: No Discrimination</t>
  </si>
  <si>
    <t>Performance area 5: Fair Remuneration</t>
  </si>
  <si>
    <t>Performance area 6: Decent Working Hours</t>
  </si>
  <si>
    <t>Performance area 7: Occupational Health and Safety</t>
  </si>
  <si>
    <t>Performance area 8: No Child Labour</t>
  </si>
  <si>
    <t xml:space="preserve">Performance area 9: Special protection for young workers </t>
  </si>
  <si>
    <r>
      <t>Performance area 10:  No Precarious Employment</t>
    </r>
    <r>
      <rPr>
        <b/>
        <sz val="14"/>
        <color indexed="8"/>
        <rFont val="Calibri"/>
        <family val="2"/>
      </rPr>
      <t xml:space="preserve"> </t>
    </r>
  </si>
  <si>
    <t>Performance area 11: No Bonded Labour</t>
  </si>
  <si>
    <t xml:space="preserve">Performance area 12: Protection of the Environment </t>
  </si>
  <si>
    <t xml:space="preserve">Performance area 13: Ethical Business Behaviour </t>
  </si>
  <si>
    <t>Management System</t>
  </si>
  <si>
    <t>Cascade Effect</t>
  </si>
  <si>
    <t>Grievance Mechanism</t>
  </si>
  <si>
    <t>Risk Assessment</t>
  </si>
  <si>
    <t>Is there satisfactory evidence that the auditee regularly provides OHS trainings to ensure workers are conversant with the rules of work, personal protection and measures for preventing and reacting to injury to themselves and fellow workers?</t>
  </si>
  <si>
    <t>Is there satisfactory evidence that the auditee sees to the stability and safety of both the equipment and buildings used for production?</t>
  </si>
  <si>
    <t>Is there satisfactory evidence that the auditee makes sure a competent person periodically checks the electrical installations and equipment?</t>
  </si>
  <si>
    <t>Is there satisfactory evidence that the auditee does not subject workers to inhumane or degrading treatment, corporal punishment, mental or physical coercion and/or verbal abuse?</t>
  </si>
  <si>
    <t>Is there satisfactory evidence of the auditee’s relevant environmental permits and licences?</t>
  </si>
  <si>
    <t>YES</t>
  </si>
  <si>
    <t>PARTIALLY</t>
  </si>
  <si>
    <t>NO</t>
  </si>
  <si>
    <t>Good Practices</t>
  </si>
  <si>
    <t>Evidence</t>
  </si>
  <si>
    <t>MI</t>
  </si>
  <si>
    <t>WI</t>
  </si>
  <si>
    <t>WRI</t>
  </si>
  <si>
    <t>DE</t>
  </si>
  <si>
    <t>GENERAL INFORMATION</t>
  </si>
  <si>
    <t>DATA EVIDENCE</t>
  </si>
  <si>
    <t>Region:</t>
  </si>
  <si>
    <t>Country:</t>
  </si>
  <si>
    <t>Product Type:</t>
  </si>
  <si>
    <t>Food</t>
  </si>
  <si>
    <t>Non-Food</t>
  </si>
  <si>
    <t>A</t>
  </si>
  <si>
    <t>B</t>
  </si>
  <si>
    <t>C</t>
  </si>
  <si>
    <t>D</t>
  </si>
  <si>
    <t>E</t>
  </si>
  <si>
    <t>Monday</t>
  </si>
  <si>
    <t>Tuesday</t>
  </si>
  <si>
    <t>Wednesday</t>
  </si>
  <si>
    <t>Thursday</t>
  </si>
  <si>
    <t>Friday</t>
  </si>
  <si>
    <t>Saturday</t>
  </si>
  <si>
    <t>Sunday</t>
  </si>
  <si>
    <t>Number of workers</t>
  </si>
  <si>
    <t>Number of shifts</t>
  </si>
  <si>
    <t>SHIFT 1</t>
  </si>
  <si>
    <t>SHIFT 2</t>
  </si>
  <si>
    <t>SHIFT 3</t>
  </si>
  <si>
    <t>From</t>
  </si>
  <si>
    <t>To</t>
  </si>
  <si>
    <t xml:space="preserve">From </t>
  </si>
  <si>
    <t>Work at night</t>
  </si>
  <si>
    <t>PA 3</t>
  </si>
  <si>
    <t>Total number of workers:</t>
  </si>
  <si>
    <t>MALE WORKERS</t>
  </si>
  <si>
    <t>FEMALE WORKERS</t>
  </si>
  <si>
    <t xml:space="preserve">Permanent workers </t>
  </si>
  <si>
    <t xml:space="preserve">Apprentices </t>
  </si>
  <si>
    <t xml:space="preserve">On probation </t>
  </si>
  <si>
    <t xml:space="preserve">With disabilities </t>
  </si>
  <si>
    <t xml:space="preserve">Production based workers  </t>
  </si>
  <si>
    <t>Unionised</t>
  </si>
  <si>
    <t xml:space="preserve">Pregnant  </t>
  </si>
  <si>
    <t xml:space="preserve">On maternity leave </t>
  </si>
  <si>
    <t>Name</t>
  </si>
  <si>
    <t>Permanent</t>
  </si>
  <si>
    <t>Seasonal</t>
  </si>
  <si>
    <t>Medium</t>
  </si>
  <si>
    <t>Low</t>
  </si>
  <si>
    <t>None</t>
  </si>
  <si>
    <t>Housing owned by auditee</t>
  </si>
  <si>
    <t>Subcontracted</t>
  </si>
  <si>
    <t>Provided by recruitment agency</t>
  </si>
  <si>
    <t>Workers</t>
  </si>
  <si>
    <t>Male Workers Number</t>
  </si>
  <si>
    <t>Female Workers Number</t>
  </si>
  <si>
    <t>Total</t>
  </si>
  <si>
    <t xml:space="preserve">Apprentices interviewed        </t>
  </si>
  <si>
    <t xml:space="preserve">Disabled persons interviewed        </t>
  </si>
  <si>
    <t xml:space="preserve">Seasonal workers interviewed        </t>
  </si>
  <si>
    <t>Pregnant workers interviewed</t>
  </si>
  <si>
    <t>Off-site</t>
  </si>
  <si>
    <t>On-site</t>
  </si>
  <si>
    <t>GPS coordinates :</t>
  </si>
  <si>
    <t>Legal regular working hours per week :</t>
  </si>
  <si>
    <t>Overview of Interview (s)</t>
  </si>
  <si>
    <t xml:space="preserve">Specific overtime premium rate for standard day off, if any:  </t>
  </si>
  <si>
    <t>Desk review</t>
  </si>
  <si>
    <t>Partially conducted</t>
  </si>
  <si>
    <t>If other, please specify</t>
  </si>
  <si>
    <t>12:00 AM</t>
  </si>
  <si>
    <t>12:15 AM</t>
  </si>
  <si>
    <t>12:30 AM</t>
  </si>
  <si>
    <t>12:45 AM</t>
  </si>
  <si>
    <t>10:00 AM</t>
  </si>
  <si>
    <t>10:15 AM</t>
  </si>
  <si>
    <t>10:30 AM</t>
  </si>
  <si>
    <t>10:45 AM</t>
  </si>
  <si>
    <t>11:00 AM</t>
  </si>
  <si>
    <t>11:15 AM</t>
  </si>
  <si>
    <t>11:30 AM</t>
  </si>
  <si>
    <t>11:45 AM</t>
  </si>
  <si>
    <t>10:00 PM</t>
  </si>
  <si>
    <t>10:15 PM</t>
  </si>
  <si>
    <t>10:30 PM</t>
  </si>
  <si>
    <t>10:45 PM</t>
  </si>
  <si>
    <t>11:00 PM</t>
  </si>
  <si>
    <t>11:15 PM</t>
  </si>
  <si>
    <t>11:30 PM</t>
  </si>
  <si>
    <t>11:45 PM</t>
  </si>
  <si>
    <t>12:00 PM</t>
  </si>
  <si>
    <t>12:15 PM</t>
  </si>
  <si>
    <t>12:30 PM</t>
  </si>
  <si>
    <t>12:45 PM</t>
  </si>
  <si>
    <t>Finances</t>
  </si>
  <si>
    <t>Human Resources</t>
  </si>
  <si>
    <t>Product Development</t>
  </si>
  <si>
    <t>Production</t>
  </si>
  <si>
    <t>Quality Control</t>
  </si>
  <si>
    <t>Sales</t>
  </si>
  <si>
    <t>Services</t>
  </si>
  <si>
    <t>Warehouse</t>
  </si>
  <si>
    <t>Departments</t>
  </si>
  <si>
    <t>Processing Unit</t>
  </si>
  <si>
    <t>Packing Unit</t>
  </si>
  <si>
    <t>Contract Farm</t>
  </si>
  <si>
    <t>Own Farm</t>
  </si>
  <si>
    <t>Own Factory</t>
  </si>
  <si>
    <t>Subcontractor</t>
  </si>
  <si>
    <t>Homeworkers</t>
  </si>
  <si>
    <t>Subsupplier</t>
  </si>
  <si>
    <t>Accessories</t>
  </si>
  <si>
    <t>Agriculture</t>
  </si>
  <si>
    <t>Chemical Industry</t>
  </si>
  <si>
    <t>Construction</t>
  </si>
  <si>
    <t>Cosmetic Industry</t>
  </si>
  <si>
    <t>Dairy Industry</t>
  </si>
  <si>
    <t>Extractive Industry</t>
  </si>
  <si>
    <t>Fishery, aquaculture and inland waterways</t>
  </si>
  <si>
    <t>Food, Drink and Tobacco</t>
  </si>
  <si>
    <t>Forestry, wood, pulp and paper</t>
  </si>
  <si>
    <t>Health Industry</t>
  </si>
  <si>
    <t>Live animals and related products</t>
  </si>
  <si>
    <t>Meat Industry</t>
  </si>
  <si>
    <t>Mechanical and electrical engineering</t>
  </si>
  <si>
    <t>Media and graphical industry</t>
  </si>
  <si>
    <t>Plastic Industry</t>
  </si>
  <si>
    <t>Sports equipment and sportwear</t>
  </si>
  <si>
    <t xml:space="preserve">Textiles, clothing, leather </t>
  </si>
  <si>
    <t>Toys and Games</t>
  </si>
  <si>
    <t>Industry</t>
  </si>
  <si>
    <t>&lt;none&gt;</t>
  </si>
  <si>
    <t>Agrochemicals and pesticides</t>
  </si>
  <si>
    <t>Alcoholic beverage and spirits</t>
  </si>
  <si>
    <t>Alternative heath products</t>
  </si>
  <si>
    <t>Apparel</t>
  </si>
  <si>
    <t>Arts, crafts and needlework</t>
  </si>
  <si>
    <t>Audio, Visual and photgraphy</t>
  </si>
  <si>
    <t>Baby Care</t>
  </si>
  <si>
    <t>Building Products</t>
  </si>
  <si>
    <t>Cereals (including soy), leguminosae and their products</t>
  </si>
  <si>
    <t>Cleaning and Hygiene products</t>
  </si>
  <si>
    <t>Cocoa and Cocoa preparations</t>
  </si>
  <si>
    <t>Coffee and coffee preparations</t>
  </si>
  <si>
    <t>Dairy products (including butter)</t>
  </si>
  <si>
    <t>Eggs and eggs preparation</t>
  </si>
  <si>
    <t>Electrical supplies</t>
  </si>
  <si>
    <t>First aid and wound care</t>
  </si>
  <si>
    <t>Fish, Crustaceans and molluscs (fresh and frozen)</t>
  </si>
  <si>
    <t>Flowers and Ornamental Plants</t>
  </si>
  <si>
    <t>Footwear (including sport shoes)</t>
  </si>
  <si>
    <t>Forestry derivates</t>
  </si>
  <si>
    <t>Fragances</t>
  </si>
  <si>
    <t>Fresh Fruits and Vegetables</t>
  </si>
  <si>
    <t>Furnitures</t>
  </si>
  <si>
    <t>Glassware (eyewear)</t>
  </si>
  <si>
    <t>Herbs and spices (including tobacco leaves)</t>
  </si>
  <si>
    <t>Home appliances</t>
  </si>
  <si>
    <t>Home textiles</t>
  </si>
  <si>
    <t>Honey (both natural and blended)</t>
  </si>
  <si>
    <t>Households</t>
  </si>
  <si>
    <t>Jewellery</t>
  </si>
  <si>
    <t>Kitchen merchandise</t>
  </si>
  <si>
    <t>Lawns and Garden supplies</t>
  </si>
  <si>
    <t>Livestock</t>
  </si>
  <si>
    <t>Lubricants</t>
  </si>
  <si>
    <t>Meat products (fresh and frozen)</t>
  </si>
  <si>
    <t>Metal production</t>
  </si>
  <si>
    <t>Non alcoholic beverages (including soft drinks and water)</t>
  </si>
  <si>
    <t>Nuts and Nuts preparations</t>
  </si>
  <si>
    <t>Offices furnitures</t>
  </si>
  <si>
    <t>Oil, fuels and gas production</t>
  </si>
  <si>
    <t>Optics, ear  and prothesis</t>
  </si>
  <si>
    <t>Other Agriculture products (please specify)</t>
  </si>
  <si>
    <t>Other Chemical products (please specify)</t>
  </si>
  <si>
    <t>Other cosmetic products (please specify)</t>
  </si>
  <si>
    <t>Other engineering (please specify)</t>
  </si>
  <si>
    <t>Other food products (please specify)</t>
  </si>
  <si>
    <t>Other live animal products (please specify)</t>
  </si>
  <si>
    <t>Other plastic like products (please specify)</t>
  </si>
  <si>
    <t>Personal Accessories</t>
  </si>
  <si>
    <t>Personal Beauty, hygiene and care (including alternative beauty products)</t>
  </si>
  <si>
    <t>Pets, animal and pets food</t>
  </si>
  <si>
    <t>Pharmacy products</t>
  </si>
  <si>
    <t>Plastic and articles thereof</t>
  </si>
  <si>
    <t>Plumbing/Heating/Ventilation/Air Conditioning</t>
  </si>
  <si>
    <t>Processed fruits and vegetables</t>
  </si>
  <si>
    <t>PVC</t>
  </si>
  <si>
    <t>Roots and tubers (including potatoes)</t>
  </si>
  <si>
    <t>Safety Protection - DIY</t>
  </si>
  <si>
    <t>Safety/Security/Surveillance</t>
  </si>
  <si>
    <t>Storage, haulage and containers</t>
  </si>
  <si>
    <t>Sugar and sugar confectionery</t>
  </si>
  <si>
    <t>Textual and printed materials</t>
  </si>
  <si>
    <t>Tobacco and tobacco preparations</t>
  </si>
  <si>
    <t>Tools Equipment - Power</t>
  </si>
  <si>
    <t>Transport and automotive</t>
  </si>
  <si>
    <t>Vegetal oils and margarines</t>
  </si>
  <si>
    <t>Products</t>
  </si>
  <si>
    <t>Games</t>
  </si>
  <si>
    <t>Juices and vinegar</t>
  </si>
  <si>
    <t>Other accessories (please specify)</t>
  </si>
  <si>
    <t>Other fishery (please specify)</t>
  </si>
  <si>
    <t>Other construction items (please specify)</t>
  </si>
  <si>
    <t>Other soft goods (please specify)</t>
  </si>
  <si>
    <t>Other sport equipment (please specify)</t>
  </si>
  <si>
    <t>Sports equipment</t>
  </si>
  <si>
    <t>Sportwear</t>
  </si>
  <si>
    <t>Toys</t>
  </si>
  <si>
    <t xml:space="preserve">Bathroom and kitchen utensiles </t>
  </si>
  <si>
    <t xml:space="preserve">Bathroom appliances </t>
  </si>
  <si>
    <t>Clocks and watches</t>
  </si>
  <si>
    <t>Hangbags, belts and shoes</t>
  </si>
  <si>
    <t>Other health products (please specify)</t>
  </si>
  <si>
    <t>Was an interpreter used ?</t>
  </si>
  <si>
    <t>Language(s) used for workers interviews</t>
  </si>
  <si>
    <t xml:space="preserve">Workers aged &lt; 18 years interviewed </t>
  </si>
  <si>
    <t>Workers’ representative interviewed</t>
  </si>
  <si>
    <t>Recruitment Agency</t>
  </si>
  <si>
    <t>Is there satisfactory evidence that the auditee grants workers the right to at least one day off in every seven days?</t>
  </si>
  <si>
    <t>Is there satisfactory evidence that the auditee regularly carries out risk assessments for safe, healthy and hygienic working conditions?</t>
  </si>
  <si>
    <t>Is there satisfactory evidence that the auditee engages workers based on recognised and documented employment relationships?</t>
  </si>
  <si>
    <t>Is there satisfactory evidence that the auditee keeps accurate information regarding its own activities, structure and performance?</t>
  </si>
  <si>
    <t>Is there satisfactory evidence that the auditee takes the necessary measures to not being involved in falsifying information related to the activities, structure and performance nor in any act of misrepresentation in the supply chain?</t>
  </si>
  <si>
    <t>Is there satisfactory evidence that wages are paid in a timely manner; regularly and fully in legal tender?</t>
  </si>
  <si>
    <t>Is there satisfactory evidence that the auditee has established robust age-verification mechanisms as part of the recruitment process, which may not be in any way degrading or disrespectful to the worker?</t>
  </si>
  <si>
    <t>Is there satisfactory evidence that the auditee does not engage in any form of servitude, forced, bonded, indentured, trafficked or non-voluntary labour?</t>
  </si>
  <si>
    <t>Is there satisfactory evidence that the auditee grants workers the right to resting breaks in every working day?</t>
  </si>
  <si>
    <t>Contractual Rights</t>
  </si>
  <si>
    <t>Human Rights</t>
  </si>
  <si>
    <t>Service Provider</t>
  </si>
  <si>
    <t>External</t>
  </si>
  <si>
    <t>Infrastructure</t>
  </si>
  <si>
    <t>Personal Relations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</si>
  <si>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</si>
  <si>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</si>
  <si>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</si>
  <si>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</si>
  <si>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</si>
  <si>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</si>
  <si>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</si>
  <si>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</si>
  <si>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</si>
  <si>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</si>
  <si>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</si>
  <si>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</si>
  <si>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</si>
  <si>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</si>
  <si>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</si>
  <si>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</si>
  <si>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</si>
  <si>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</si>
  <si>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</si>
  <si>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</si>
  <si>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</si>
  <si>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</si>
  <si>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</si>
  <si>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</si>
  <si>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</si>
  <si>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</si>
  <si>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</si>
  <si>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</si>
  <si>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</si>
  <si>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</si>
  <si>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</si>
  <si>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</si>
  <si>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</si>
  <si>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</si>
  <si>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</si>
  <si>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</si>
  <si>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</si>
  <si>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</si>
  <si>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</si>
  <si>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</si>
  <si>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</si>
  <si>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</si>
  <si>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</si>
  <si>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Channel Islands</t>
  </si>
  <si>
    <t>Chile</t>
  </si>
  <si>
    <t>China</t>
  </si>
  <si>
    <t>Christmas Island</t>
  </si>
  <si>
    <t>Cocos (Keeling) Islands</t>
  </si>
  <si>
    <t>Colombia</t>
  </si>
  <si>
    <t>Comoros</t>
  </si>
  <si>
    <t>Congo</t>
  </si>
  <si>
    <t>Congo, The Democratic Republic Of The</t>
  </si>
  <si>
    <t>Cook Islands</t>
  </si>
  <si>
    <t>Costa Rica</t>
  </si>
  <si>
    <t>Cote D'Ivoire</t>
  </si>
  <si>
    <t>Croatia</t>
  </si>
  <si>
    <t>Cuba</t>
  </si>
  <si>
    <t>Cyprus</t>
  </si>
  <si>
    <t>Czech Republic</t>
  </si>
  <si>
    <t>Denmark</t>
  </si>
  <si>
    <t>Djibouti</t>
  </si>
  <si>
    <t>Dominica</t>
  </si>
  <si>
    <t>Dominican Republic</t>
  </si>
  <si>
    <t>Ecuador</t>
  </si>
  <si>
    <t>Egypt</t>
  </si>
  <si>
    <t>El Salvador</t>
  </si>
  <si>
    <t>Equatorial Guinea</t>
  </si>
  <si>
    <t>Eritrea</t>
  </si>
  <si>
    <t>Estonia</t>
  </si>
  <si>
    <t>Ethiopia</t>
  </si>
  <si>
    <t>European Community (EU)</t>
  </si>
  <si>
    <t>Falkland Islands</t>
  </si>
  <si>
    <t>Faroe Islands</t>
  </si>
  <si>
    <t>Fiji</t>
  </si>
  <si>
    <t>Finland</t>
  </si>
  <si>
    <t>France</t>
  </si>
  <si>
    <t>French Antilles</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</si>
  <si>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</si>
  <si>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</si>
  <si>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</si>
  <si>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</si>
  <si>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</si>
  <si>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</si>
  <si>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</si>
  <si>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</si>
  <si>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</si>
  <si>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</si>
  <si>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</si>
  <si>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</si>
  <si>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</si>
  <si>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</si>
  <si>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</si>
  <si>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Guinea</t>
  </si>
  <si>
    <t>Guinea-Bissau</t>
  </si>
  <si>
    <t>Guyana</t>
  </si>
  <si>
    <t>Haiti</t>
  </si>
  <si>
    <t>Heard Island And Mcdonald Islands</t>
  </si>
  <si>
    <t>Holland</t>
  </si>
  <si>
    <t>Holy See (Vatican City State)</t>
  </si>
  <si>
    <t>Honduras</t>
  </si>
  <si>
    <t>Hong Kong</t>
  </si>
  <si>
    <t>Hungary</t>
  </si>
  <si>
    <t>Iceland</t>
  </si>
  <si>
    <t>India</t>
  </si>
  <si>
    <t>Indonesia</t>
  </si>
  <si>
    <t>Iran, Islamic Republic Of</t>
  </si>
  <si>
    <t>Iraq</t>
  </si>
  <si>
    <t>Ireland</t>
  </si>
  <si>
    <t>Israel</t>
  </si>
  <si>
    <t>Italy</t>
  </si>
  <si>
    <t>Jamaica</t>
  </si>
  <si>
    <t>Japan</t>
  </si>
  <si>
    <t>Jersey Channel Island</t>
  </si>
  <si>
    <t>Jordan</t>
  </si>
  <si>
    <t>Kazakhstan</t>
  </si>
  <si>
    <t>Kenya</t>
  </si>
  <si>
    <t>Kiribati</t>
  </si>
  <si>
    <t>Korea</t>
  </si>
  <si>
    <t>Kuwait</t>
  </si>
  <si>
    <t>Kyrgyzstan</t>
  </si>
  <si>
    <t>Laos</t>
  </si>
  <si>
    <t>Latvia</t>
  </si>
  <si>
    <t>Lebanon</t>
  </si>
  <si>
    <t>Lesotho</t>
  </si>
  <si>
    <t>Liberia</t>
  </si>
  <si>
    <t>Libya</t>
  </si>
  <si>
    <t>Liechtenstein</t>
  </si>
  <si>
    <t>Lithuania</t>
  </si>
  <si>
    <t>Luxembourg</t>
  </si>
  <si>
    <t>Macao</t>
  </si>
  <si>
    <t>Macedonia</t>
  </si>
  <si>
    <t>Madagascar</t>
  </si>
  <si>
    <t>Malawi</t>
  </si>
  <si>
    <t>Malaysia</t>
  </si>
  <si>
    <t>Maldives</t>
  </si>
  <si>
    <t>Mali</t>
  </si>
  <si>
    <t>Malta</t>
  </si>
  <si>
    <t>Mariana Islands</t>
  </si>
  <si>
    <t>Marshall Islands</t>
  </si>
  <si>
    <t>Martinique</t>
  </si>
  <si>
    <t>Mauritania</t>
  </si>
  <si>
    <t>Mauritius</t>
  </si>
  <si>
    <t>Mayotte</t>
  </si>
  <si>
    <t>Mexico</t>
  </si>
  <si>
    <t>Micronesia</t>
  </si>
  <si>
    <t>Moldova, Republic Of</t>
  </si>
  <si>
    <t>Monaco</t>
  </si>
  <si>
    <t>Mongolia</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</si>
  <si>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</si>
  <si>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</si>
  <si>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</si>
  <si>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</si>
  <si>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</si>
  <si>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</si>
  <si>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</si>
  <si>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</si>
  <si>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</si>
  <si>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</si>
  <si>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</si>
  <si>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</si>
  <si>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</si>
  <si>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</si>
  <si>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</si>
  <si>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</si>
  <si>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</si>
  <si>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</si>
  <si>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</si>
  <si>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</si>
  <si>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</si>
  <si>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 Occupied</t>
  </si>
  <si>
    <t>Panama</t>
  </si>
  <si>
    <t>Papua New Guinea</t>
  </si>
  <si>
    <t>Paraguay</t>
  </si>
  <si>
    <t>Peru</t>
  </si>
  <si>
    <t>Philippines</t>
  </si>
  <si>
    <t>Pitcairn</t>
  </si>
  <si>
    <t>Poland</t>
  </si>
  <si>
    <t>Portugal</t>
  </si>
  <si>
    <t>Puerto Rico</t>
  </si>
  <si>
    <t>Qatar</t>
  </si>
  <si>
    <t>Republic of Korea (South Korea)</t>
  </si>
  <si>
    <t>Reunion</t>
  </si>
  <si>
    <t>Romania</t>
  </si>
  <si>
    <t>Russia</t>
  </si>
  <si>
    <t>Rwanda</t>
  </si>
  <si>
    <t>Saint Helena</t>
  </si>
  <si>
    <t>Saint Kitts And Nevis</t>
  </si>
  <si>
    <t>Saint Lucia</t>
  </si>
  <si>
    <t>Saint Pierre And Miquelon</t>
  </si>
  <si>
    <t>Saint Vincent And The Grenadines</t>
  </si>
  <si>
    <t>Saipan</t>
  </si>
  <si>
    <t>Samoa</t>
  </si>
  <si>
    <t>San Marino</t>
  </si>
  <si>
    <t>Sao Tome And Principe</t>
  </si>
  <si>
    <t>Saudi Arabia</t>
  </si>
  <si>
    <t>Senegal</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</si>
  <si>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</si>
  <si>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</si>
  <si>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</si>
  <si>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</si>
  <si>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</si>
  <si>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</si>
  <si>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</si>
  <si>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</si>
  <si>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</si>
  <si>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</si>
  <si>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</si>
  <si>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</si>
  <si>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</si>
  <si>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</si>
  <si>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</si>
  <si>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</si>
  <si>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</si>
  <si>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</si>
  <si>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</si>
  <si>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</si>
  <si>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</si>
  <si>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</si>
  <si>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</si>
  <si>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</si>
  <si>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</si>
  <si>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</si>
  <si>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</si>
  <si>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</si>
  <si>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</si>
  <si>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</si>
  <si>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</si>
  <si>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</si>
  <si>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</si>
  <si>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</si>
  <si>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</si>
  <si>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</si>
  <si>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</si>
  <si>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</si>
  <si>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</si>
  <si>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Unknown</t>
  </si>
  <si>
    <t>Uruguay</t>
  </si>
  <si>
    <t>Uzbekistan</t>
  </si>
  <si>
    <t>Vanuatu</t>
  </si>
  <si>
    <t>Vatican City</t>
  </si>
  <si>
    <t>Venezuela</t>
  </si>
  <si>
    <t>Vietnam</t>
  </si>
  <si>
    <t>Virgin Islands, British</t>
  </si>
  <si>
    <t>Virgin Islands, U.S.</t>
  </si>
  <si>
    <t>Wallis And Futuna</t>
  </si>
  <si>
    <t>Western Sahara</t>
  </si>
  <si>
    <t>Yemen</t>
  </si>
  <si>
    <t>Yugoslavia</t>
  </si>
  <si>
    <t>Zaire</t>
  </si>
  <si>
    <t>Zambia</t>
  </si>
  <si>
    <t>Zimbabwe</t>
  </si>
  <si>
    <t>Countries</t>
  </si>
  <si>
    <t>Yes_No</t>
  </si>
  <si>
    <t>Score1</t>
  </si>
  <si>
    <t>Score2</t>
  </si>
  <si>
    <t>Significance_ Business_Partner</t>
  </si>
  <si>
    <t>Type_Of_Grievance</t>
  </si>
  <si>
    <t>Type_Of_Stakeholder</t>
  </si>
  <si>
    <t>WorkTime</t>
  </si>
  <si>
    <t>housing</t>
  </si>
  <si>
    <t>Yes_No_Notapplicable</t>
  </si>
  <si>
    <t>Auditor's language proficiencies:</t>
  </si>
  <si>
    <t>Combined with other system(s)</t>
  </si>
  <si>
    <t>Auditor's information</t>
  </si>
  <si>
    <t>Auditor's sector-related competencies:</t>
  </si>
  <si>
    <t>Access denied</t>
  </si>
  <si>
    <t>Audit duration</t>
  </si>
  <si>
    <t>Audit date:</t>
  </si>
  <si>
    <t>Specific industry-based remuneration, if any (if no regulation, still answer NONE):</t>
  </si>
  <si>
    <t>Valid collective bargaining agreement, if any (if none, still answer NONE):</t>
  </si>
  <si>
    <t>Social benefits granted legally:</t>
  </si>
  <si>
    <t xml:space="preserve">Total minimum remuneration for a regular full-time worker (wage + social benefit): </t>
  </si>
  <si>
    <t>Legal regulation for overtime, if any (if no regulation, still answer NONE):</t>
  </si>
  <si>
    <t>Legal regulation of shifts, if any (if no regulation, still answer NONE):</t>
  </si>
  <si>
    <t>Relevant trade union, if any (if none, still answer NONE):</t>
  </si>
  <si>
    <t>Auditee's name:</t>
  </si>
  <si>
    <t>Auditee’s official language(s) for written  communications:</t>
  </si>
  <si>
    <t xml:space="preserve">Other relevant languages for the auditee: </t>
  </si>
  <si>
    <t xml:space="preserve">Website of auditee (if applicable): </t>
  </si>
  <si>
    <t xml:space="preserve">Total turnover (in Euros): </t>
  </si>
  <si>
    <t>Description of any specific situation that led to overtime in the six months prior to the audit (if none, still answer NONE):</t>
  </si>
  <si>
    <t>Auditee's production structure</t>
  </si>
  <si>
    <t xml:space="preserve">Name of workers organisation or trade union (if applicable): </t>
  </si>
  <si>
    <t xml:space="preserve">Workers organisation contact person or workers representative (name): </t>
  </si>
  <si>
    <t xml:space="preserve">Workers organisation contact person or workers representative (title): </t>
  </si>
  <si>
    <t xml:space="preserve">Workers organisation contact person or workers representative (year of election): </t>
  </si>
  <si>
    <t>Auditee's production calendar</t>
  </si>
  <si>
    <t>Auditee's social performance management</t>
  </si>
  <si>
    <t>Name and position of the person in charge of developing social procedures, if any (if no one, still answer NONE):</t>
  </si>
  <si>
    <t>Name and position of the person in charge of administrating the grievance mechanism, if any (if no one, still answer NONE):</t>
  </si>
  <si>
    <t>Name and position of the person in charge of investigating and registering OHS accidents, if any (if no one, still answer NONE):</t>
  </si>
  <si>
    <t>Name of the physician and/or nurse in charge, if any (if no one, still answer NONE):</t>
  </si>
  <si>
    <t xml:space="preserve">Name and location of the hospital or medical centre or doctor in case of an agreement with them (if not, still answer “No agreement” or “name not available”): </t>
  </si>
  <si>
    <t>Auditee's employment structure at the time of the audit</t>
  </si>
  <si>
    <t xml:space="preserve">Temporary workers </t>
  </si>
  <si>
    <t xml:space="preserve">In management positions </t>
  </si>
  <si>
    <t>Migrants (national citizens)</t>
  </si>
  <si>
    <t>Migrants (foreign citizens)</t>
  </si>
  <si>
    <t>Workers on the permanent payroll</t>
  </si>
  <si>
    <t>With shifts at night</t>
  </si>
  <si>
    <t>Temporary</t>
  </si>
  <si>
    <t>YoungWorkers</t>
  </si>
  <si>
    <t>Grievance_Mechanism</t>
  </si>
  <si>
    <t>Auditee's</t>
  </si>
  <si>
    <t>Prison Labor</t>
  </si>
  <si>
    <t>BusinessPartners</t>
  </si>
  <si>
    <t>Part of the management system</t>
  </si>
  <si>
    <t>Internal audits</t>
  </si>
  <si>
    <t xml:space="preserve">Second party audits </t>
  </si>
  <si>
    <t>Valid social certificate</t>
  </si>
  <si>
    <t>Welfare Committee’s representative interviewed, if applicable</t>
  </si>
  <si>
    <t xml:space="preserve">Full-time workers interviewed         </t>
  </si>
  <si>
    <t xml:space="preserve">Part-time workers interviewed              </t>
  </si>
  <si>
    <t xml:space="preserve">Migrant workers interviewed (national citizens)     </t>
  </si>
  <si>
    <t xml:space="preserve">Migrant workers interviewed (foreign citizens)        </t>
  </si>
  <si>
    <t>Health and/or Safety Committee representative interviewed , if applicable</t>
  </si>
  <si>
    <t>7.10</t>
  </si>
  <si>
    <t>7.20</t>
  </si>
  <si>
    <t xml:space="preserve">Other (please specify) </t>
  </si>
  <si>
    <t>Other (please specify)</t>
  </si>
  <si>
    <t>Audit scope and methodology</t>
  </si>
  <si>
    <t>Interview method used</t>
  </si>
  <si>
    <t>Group interview</t>
  </si>
  <si>
    <t>Individual interview(s)</t>
  </si>
  <si>
    <t>INTERVIEWS EVIDENCE</t>
  </si>
  <si>
    <t>January</t>
  </si>
  <si>
    <t>February</t>
  </si>
  <si>
    <t>March</t>
  </si>
  <si>
    <t>April</t>
  </si>
  <si>
    <t>May</t>
  </si>
  <si>
    <t>June</t>
  </si>
  <si>
    <t>July</t>
  </si>
  <si>
    <t>August</t>
  </si>
  <si>
    <t>September</t>
  </si>
  <si>
    <t>October</t>
  </si>
  <si>
    <t>November</t>
  </si>
  <si>
    <t>December</t>
  </si>
  <si>
    <t>High</t>
  </si>
  <si>
    <t>Month</t>
  </si>
  <si>
    <t>Level of production activity</t>
  </si>
  <si>
    <t>Level of Production Activity</t>
  </si>
  <si>
    <t xml:space="preserve">Is there satisfactory evidence that the auditee’s workforce capacity is properly organised to meet the expectations of the delivery order and/or contracts ? </t>
  </si>
  <si>
    <t>Is there satisfactory evidence that the auditee builds sufficient competence among managers, workers and workers representatives to successfully embed responsible practices in the business operation?</t>
  </si>
  <si>
    <t>Is there satisfactory evidence that the auditee has established, or participates in, an effective operational-level grievance mechanism for individuals and communities?</t>
  </si>
  <si>
    <t>Is there satisfactory evidence that the auditee does not discriminate against workers because of their trade union membership?</t>
  </si>
  <si>
    <t>Is there satisfactory evidence that the auditee does not prevent workers representatives from having access to or interacting with workers in the workplace?</t>
  </si>
  <si>
    <t>Is there satisfactory evidence that the auditee takes the necessary measures to avoid or eradicate discrimination in the workplace?</t>
  </si>
  <si>
    <t>Is there satisfactory evidence that the auditee takes the necessary preventative and/or remedial measures to ensure workers are not disciplined, dismissed or otherwise discriminated against because of their complaints against infringements of their rights?</t>
  </si>
  <si>
    <t>Is there satisfactory evidence that the auditee complies with the government’s minimum wage legislation or the industry standard approved through collective bargaining?</t>
  </si>
  <si>
    <t>Is there satisfactory evidence that the level of wages reflects the skills and education of workers?</t>
  </si>
  <si>
    <t>Is there satisfactory evidence that the auditee provides sufficient remuneration that allows workers to meet a decent living standard?</t>
  </si>
  <si>
    <t>Is there satisfactory evidence that the auditee provides workers with the social benefits that are legally granted?</t>
  </si>
  <si>
    <t>Is there satisfactory evidence that the auditee ensures that deductions are only taken under the conditions and to the extent prescribed by the law?</t>
  </si>
  <si>
    <t>Is there satisfactory evidence that the auditee does not require more than 48 regular working hours per week, without prejudice to the exceptions recognised by the ILO?</t>
  </si>
  <si>
    <t>Is there satisfactory evidence that the auditee is in observance of the occupational health and safety regulations applicable for its activities?</t>
  </si>
  <si>
    <t>Is there satisfactory evidence that the auditee seeks to improve workers’ protection in case of accident, including through compulsory insurance schemes?</t>
  </si>
  <si>
    <t>Is there satisfactory evidence that the auditee implements engineering and administrative control measures to avoid or minimise the release of hazardous substances into the work environment keep the level of exposure below internationally established or recognised limits?</t>
  </si>
  <si>
    <t xml:space="preserve">Is there satisfactory evidence that the auditee has developed and implemented  accident and emergency procedures? </t>
  </si>
  <si>
    <t>Is there satisfactory evidence that the auditee makes visible potential hazards  to the workers through signs and warnings?</t>
  </si>
  <si>
    <t>Is there satisfactory evidence that the auditee respects the workers’ right to remove herself/himself from imminent danger without seeking permission?</t>
  </si>
  <si>
    <t>Is there satisfactory evidence that the auditee has installed an adequate amount of and properly working firefighting equipment?</t>
  </si>
  <si>
    <t>Is there satisfactory evidence that the auditee ensures that escape routes, aisles and emergency exits in the production site are not blocked, easily accessible and clearly marked?</t>
  </si>
  <si>
    <t>Is there satisfactory evidence that the auditee ensures adequate safeguards for any machine part, function, or process which may cause injury to workers?</t>
  </si>
  <si>
    <t>Is there satisfactory evidence that the auditee ensures qualified first-aid is available at all  times?</t>
  </si>
  <si>
    <t>Is there satisfactory evidence that the auditee has  emergency procedures, in writing,  to deal with cases of trauma or serious illness including for when the patient  has to be transferred to an appropriate medical facility?</t>
  </si>
  <si>
    <t>Is there satisfactory evidence that the auditee provides workers with clean washing facilities, changing rooms and toilets that are also  respectful of local customs?</t>
  </si>
  <si>
    <t>Is there satisfactory evidence that the auditee provision of transportation to workers is safe and complies with national regulations?</t>
  </si>
  <si>
    <t>Is there satisfactory evidence that the auditee has chosen the location of the social facilities or housing to ensure users are not exposed to natural hazards or affected by the operational impacts of the worksite (for example noise, emissions or dust)?</t>
  </si>
  <si>
    <t xml:space="preserve">Is there satisfactory evidence the auditee verifies that temperature, humidity, space, sanitation, illumination are adequate for the health and safety of workers?  </t>
  </si>
  <si>
    <t xml:space="preserve">Is there satisfactory evidence that the auditee has adequate policies and  procedures in writing toward protecting children from any kind of exploitation? </t>
  </si>
  <si>
    <t>Is there satisfactory evidence that the auditee ensures that young persons do not work at night and are protected against conditions of work which are prejudicial to their health, safety, morals and development?</t>
  </si>
  <si>
    <t>Is there satisfactory evidence that  young workers’ working hours do not prejudice their attendance at school, their participation in vocational orientation approved by the competent authority or their capacity to benefit from training or instruction programmes?</t>
  </si>
  <si>
    <t>Is there satisfactory evidence that the auditee has established the necessary mechanisms to prevent, identify and mitigate harm to young workers?</t>
  </si>
  <si>
    <t>Is there satisfactory evidence that the auditee seeks to ensure young workers access to effective grievance mechanisms?</t>
  </si>
  <si>
    <t>Is there satisfactory evidence that the auditee seeks to  ensure that young workers are properly trained on Occupational Health and Safety and have access to related training programmes?</t>
  </si>
  <si>
    <t>Is there satisfactory evidence that the auditee has a good overview of all young workers engaged in its production site?</t>
  </si>
  <si>
    <t>Is there satisfactory evidence that the auditee‘s employment relationships are not precarious for the workers?</t>
  </si>
  <si>
    <t>Is there satisfactory evidence that the auditee provides workers with understandable information before entering into employment?</t>
  </si>
  <si>
    <t xml:space="preserve">Is there satisfactory evidence that the auditee does not use employment arrangements in a way that deliberately does not correspond to the genuine purpose of the law? </t>
  </si>
  <si>
    <t xml:space="preserve">Is there satisfactory evidence that the auditee acts  rigorously and diligently when engaging and recruiting migrant workers both directly and indirectly? </t>
  </si>
  <si>
    <t>Is there satisfactory evidence the auditee has established all applicable disciplinary procedures  in writing and has  explained them verbally to workers in clear and understandable terms?</t>
  </si>
  <si>
    <t>Is there satisfactory evidence that the auditee continuously identifies the significant impacts and environmental implications associated to its activity?</t>
  </si>
  <si>
    <t>Is there satisfactory evidence that the auditee has procedures in place to ensure integration of local environmental law into the business performance?</t>
  </si>
  <si>
    <t>Is there satisfactory evidence that waste is managed in a way that does not lead to the pollution of the environment?</t>
  </si>
  <si>
    <t>Is there satisfactory evidence that water is managed in a way that respects the environment, particularly but not limited to preserving local water sources?</t>
  </si>
  <si>
    <t>Is there satisfactory evidence that the auditee actively opposes any act of  corruption, extortion or embezzlement, or in any form of bribery in its activities as a business enterprise?</t>
  </si>
  <si>
    <t>Is there satisfactory evidence that the auditee collects, uses and otherwise processes personal information with reasonable care and in accordance with privacy and information security laws and regulatory requirements?</t>
  </si>
  <si>
    <t>Crucial</t>
  </si>
  <si>
    <t>N/A</t>
  </si>
  <si>
    <t>Fullaudit_Followup_audit</t>
  </si>
  <si>
    <t>Full_audit</t>
  </si>
  <si>
    <t>Follow_up_audit</t>
  </si>
  <si>
    <t>Sector</t>
  </si>
  <si>
    <t xml:space="preserve">Please select the "level of production activity" for each month (low, medium, high). The graphic will be populated automatically. </t>
  </si>
  <si>
    <r>
      <t xml:space="preserve">Standard day off in the country </t>
    </r>
    <r>
      <rPr>
        <b/>
        <i/>
        <sz val="11"/>
        <color indexed="8"/>
        <rFont val="Calibri"/>
        <family val="2"/>
      </rPr>
      <t>(please select):</t>
    </r>
  </si>
  <si>
    <t>Industrial</t>
  </si>
  <si>
    <t>Agricultural</t>
  </si>
  <si>
    <t>Main auditee</t>
  </si>
  <si>
    <t>Aborted</t>
  </si>
  <si>
    <r>
      <t>Audit extent (if applicable)</t>
    </r>
    <r>
      <rPr>
        <b/>
        <i/>
        <sz val="11"/>
        <color indexed="8"/>
        <rFont val="Calibri"/>
        <family val="2"/>
      </rPr>
      <t>:</t>
    </r>
  </si>
  <si>
    <t>Audit interferences or contingencies (if applicable):</t>
  </si>
  <si>
    <t>Type_of_audit2</t>
  </si>
  <si>
    <t>Special_Investigation</t>
  </si>
  <si>
    <t>Please provide details to justify choice:</t>
  </si>
  <si>
    <t>Audit_extent</t>
  </si>
  <si>
    <t>Audit_interferences</t>
  </si>
  <si>
    <t>Applied in this audit</t>
  </si>
  <si>
    <t>Additional man-days for mitigation measures (if applicable):</t>
  </si>
  <si>
    <t>Number of workers interviewed</t>
  </si>
  <si>
    <t xml:space="preserve">                                             Scope of the audit
</t>
  </si>
  <si>
    <t>BSCI_Code</t>
  </si>
  <si>
    <t xml:space="preserve">Yes, with ToI for Business Partners </t>
  </si>
  <si>
    <t>Yes, with ToI for Business Partners to be monitored</t>
  </si>
  <si>
    <t xml:space="preserve">                                       Scope of the audit
</t>
  </si>
  <si>
    <t xml:space="preserve">                                          Scope of the audit
Environment of the audit</t>
  </si>
  <si>
    <t>Man-days for main auditee :</t>
  </si>
  <si>
    <t>Business_Partner</t>
  </si>
  <si>
    <t>Cooperative</t>
  </si>
  <si>
    <t>NOT RATED</t>
  </si>
  <si>
    <t>RATING</t>
  </si>
  <si>
    <t>Verification</t>
  </si>
  <si>
    <t>Based on information provided by the main auditee</t>
  </si>
  <si>
    <r>
      <rPr>
        <sz val="11"/>
        <rFont val="Calibri"/>
        <family val="2"/>
      </rPr>
      <t>→</t>
    </r>
    <r>
      <rPr>
        <sz val="9.35"/>
        <rFont val="Calibri"/>
        <family val="2"/>
      </rPr>
      <t xml:space="preserve"> </t>
    </r>
    <r>
      <rPr>
        <sz val="11"/>
        <rFont val="Calibri"/>
        <family val="2"/>
      </rPr>
      <t xml:space="preserve">By clicking on a question, you will access the related guidelines in the tab "Guidelines". </t>
    </r>
  </si>
  <si>
    <t>The table below refers to the monitored production unit:</t>
  </si>
  <si>
    <t>Percentage of the total workforce scope</t>
  </si>
  <si>
    <t>If No or Partially, please specify:</t>
  </si>
  <si>
    <t>Yes</t>
  </si>
  <si>
    <t>Information</t>
  </si>
  <si>
    <t>No (please specify)</t>
  </si>
  <si>
    <t>Partially (please specify)</t>
  </si>
  <si>
    <t>Is there satisfactory evidence that the auditee ensures evacuations plans meet legal requirements and that these plans are  posted in relevant places so workers can see and understand them?</t>
  </si>
  <si>
    <t>Did the main auditee provide information prior to the audit?</t>
  </si>
  <si>
    <t>Is there satisfactory evidence that the auditee has adequate and remedial policies and  procedures to provide for further protection in case children are found to be working?</t>
  </si>
  <si>
    <r>
      <t xml:space="preserve">For integrity purpose </t>
    </r>
    <r>
      <rPr>
        <b/>
        <sz val="12"/>
        <color indexed="10"/>
        <rFont val="Calibri"/>
        <family val="2"/>
      </rPr>
      <t>(confidential)</t>
    </r>
  </si>
  <si>
    <t>Is there satisfactory evidence that the auditee provides workers with access to an appropriate, clean area for storing food, eating and/or cooking?</t>
  </si>
  <si>
    <t>Total man-days:</t>
  </si>
  <si>
    <t>Highest number of overtime hours/worker found in the sample described above:</t>
  </si>
  <si>
    <t>Number of workers that reach the highest amount of overtime hours found in the sample described above:</t>
  </si>
  <si>
    <t>Is there satisfactory evidence that the auditee has and properly uses procedures and systems for reporting and recording occupational accidents and injuries?</t>
  </si>
  <si>
    <t>Auditee's background information</t>
  </si>
  <si>
    <t>Fully-announced audit</t>
  </si>
  <si>
    <t>Fully-unannounced audit</t>
  </si>
  <si>
    <t>Semi-announced audit</t>
  </si>
  <si>
    <t>Is there satisfactory evidence that the auditee provides workers with potable water at all times?</t>
  </si>
  <si>
    <t>* The questions in the sub-category "Cascade effect" are not rated for the time being.</t>
  </si>
  <si>
    <r>
      <t xml:space="preserve">Is there satisfactory evidence that the auditee has developed the necessary policies and processes </t>
    </r>
    <r>
      <rPr>
        <sz val="11"/>
        <rFont val="Calibri"/>
        <family val="2"/>
      </rPr>
      <t>to prevent and address any adverse human rights impacts that may be detected in its supply chain?</t>
    </r>
  </si>
  <si>
    <t xml:space="preserve">If the auditor finds that some of the questions below are non-applicable ("N/A"), he/she will need to justify this choice under "findings". </t>
  </si>
  <si>
    <t>Name and position of the person in charge of following up on the findings report, if any (if no one, still answer NONE):</t>
  </si>
  <si>
    <t>Description of any accident that occurred in the six months prior to the audit (if none, still answer NONE):</t>
  </si>
  <si>
    <t xml:space="preserve">Please note that depending on the legal status of the auditee, workers might fall under different labour laws (e.g. a state-owned company). In the case of cooperatives, there might be differences between the rights of the cooperative members and the rights of the externally hired workers. </t>
  </si>
  <si>
    <t>No</t>
  </si>
  <si>
    <t>Performance area 1: Social Management System and Cascade Effect</t>
  </si>
  <si>
    <t>Is there satisfactory evidence that the auditee enforces the use of Personal Protective Equipment in conjunction with other facility controls and safety systems?</t>
  </si>
  <si>
    <t xml:space="preserve">ERROR: you cannot select two main auditees. Please select one "main auditee". </t>
  </si>
  <si>
    <r>
      <rPr>
        <b/>
        <sz val="11"/>
        <rFont val="Calibri"/>
        <family val="2"/>
      </rPr>
      <t xml:space="preserve">If yes, please describe
</t>
    </r>
    <r>
      <rPr>
        <b/>
        <i/>
        <sz val="11"/>
        <color indexed="17"/>
        <rFont val="Calibri"/>
        <family val="2"/>
      </rPr>
      <t>(e.g. an interpreter was used at the farm level only...)</t>
    </r>
  </si>
  <si>
    <r>
      <t xml:space="preserve">Main auditee:
</t>
    </r>
    <r>
      <rPr>
        <sz val="11"/>
        <rFont val="Calibri"/>
        <family val="2"/>
      </rPr>
      <t xml:space="preserve">Please use TAB "Main auditee" (either industrial or agricultural environment). </t>
    </r>
  </si>
  <si>
    <t xml:space="preserve">Audit range: </t>
  </si>
  <si>
    <t>Audit announcement:</t>
  </si>
  <si>
    <t>Random Unannounced Check (RUC):</t>
  </si>
  <si>
    <t xml:space="preserve">How long it takes the producer to pay its employees after the working period (e.g. daily, monthly, piece-rate...) is completed: </t>
  </si>
  <si>
    <t>Work place and social facilities, including housing when provided by the auditee</t>
  </si>
  <si>
    <t>Smallholder</t>
  </si>
  <si>
    <t>Is there satisfactory evidence that the auditee respects the right of workers to form or to join unions in a free and democratic way?</t>
  </si>
  <si>
    <t>Regulations</t>
  </si>
  <si>
    <t>Payment frequency</t>
  </si>
  <si>
    <t>Hour</t>
  </si>
  <si>
    <t>Day</t>
  </si>
  <si>
    <t>Week</t>
  </si>
  <si>
    <t>31/12/2099</t>
  </si>
  <si>
    <t xml:space="preserve">City: </t>
  </si>
  <si>
    <t>Farms</t>
  </si>
  <si>
    <t>Business Partners (excluding farms)</t>
  </si>
  <si>
    <t>ERROR: you cannot exclude the main auditee from the scope of the audit. Please select "main auditee".</t>
  </si>
  <si>
    <r>
      <rPr>
        <b/>
        <sz val="11"/>
        <rFont val="Calibri"/>
        <family val="2"/>
      </rPr>
      <t>Main auditee + business partners (excluding farms):</t>
    </r>
    <r>
      <rPr>
        <sz val="11"/>
        <rFont val="Calibri"/>
        <family val="2"/>
      </rPr>
      <t xml:space="preserve">
Please use TAB "Main auditee" (either industrial or agricultural environment).   
</t>
    </r>
    <r>
      <rPr>
        <sz val="12"/>
        <rFont val="Calibri"/>
        <family val="2"/>
      </rPr>
      <t>+</t>
    </r>
    <r>
      <rPr>
        <sz val="13"/>
        <rFont val="Calibri"/>
        <family val="2"/>
      </rPr>
      <t xml:space="preserve"> </t>
    </r>
    <r>
      <rPr>
        <sz val="11"/>
        <rFont val="Calibri"/>
        <family val="2"/>
      </rPr>
      <t xml:space="preserve">TAB "Sampled Business Partner".  Add as many TABS as there are sampled business partners. </t>
    </r>
  </si>
  <si>
    <r>
      <rPr>
        <b/>
        <sz val="11"/>
        <rFont val="Calibri"/>
        <family val="2"/>
      </rPr>
      <t>Main auditee + farms:</t>
    </r>
    <r>
      <rPr>
        <sz val="11"/>
        <rFont val="Calibri"/>
        <family val="2"/>
      </rPr>
      <t xml:space="preserve">
Please use TAB "Main auditee"(either industrial or agricultural environment). </t>
    </r>
    <r>
      <rPr>
        <sz val="12"/>
        <rFont val="Calibri"/>
        <family val="2"/>
      </rPr>
      <t xml:space="preserve">
+</t>
    </r>
    <r>
      <rPr>
        <sz val="15"/>
        <rFont val="Calibri"/>
        <family val="2"/>
      </rPr>
      <t xml:space="preserve"> </t>
    </r>
    <r>
      <rPr>
        <sz val="11"/>
        <rFont val="Calibri"/>
        <family val="2"/>
      </rPr>
      <t xml:space="preserve">TAB "Sampled Farm". Add as many TABS as there are sampled farms. </t>
    </r>
  </si>
  <si>
    <r>
      <rPr>
        <b/>
        <sz val="11"/>
        <rFont val="Calibri"/>
        <family val="2"/>
      </rPr>
      <t>Main auditee + business partners (excluding farms) + farms:</t>
    </r>
    <r>
      <rPr>
        <sz val="11"/>
        <rFont val="Calibri"/>
        <family val="2"/>
      </rPr>
      <t xml:space="preserve">
Please use TAB "Main auditee"(either industrial or agricultural environment). </t>
    </r>
    <r>
      <rPr>
        <sz val="12"/>
        <rFont val="Calibri"/>
        <family val="2"/>
      </rPr>
      <t xml:space="preserve">
+</t>
    </r>
    <r>
      <rPr>
        <sz val="15"/>
        <rFont val="Calibri"/>
        <family val="2"/>
      </rPr>
      <t xml:space="preserve"> </t>
    </r>
    <r>
      <rPr>
        <sz val="11"/>
        <rFont val="Calibri"/>
        <family val="2"/>
      </rPr>
      <t xml:space="preserve">TAB "Sampled Business Partner". Add as many TABS as there are sampled business partners. 
</t>
    </r>
    <r>
      <rPr>
        <sz val="12"/>
        <rFont val="Calibri"/>
        <family val="2"/>
      </rPr>
      <t>+</t>
    </r>
    <r>
      <rPr>
        <sz val="11"/>
        <rFont val="Calibri"/>
        <family val="2"/>
      </rPr>
      <t xml:space="preserve"> TAB "Sampled Farm".  Add as many TABS as there are sampled farms. </t>
    </r>
  </si>
  <si>
    <r>
      <t xml:space="preserve">The following 4 questions only apply if the scope of the audit includes </t>
    </r>
    <r>
      <rPr>
        <b/>
        <i/>
        <sz val="11"/>
        <color indexed="55"/>
        <rFont val="Calibri"/>
        <family val="2"/>
      </rPr>
      <t>business partners and/</t>
    </r>
    <r>
      <rPr>
        <b/>
        <i/>
        <sz val="11"/>
        <color indexed="57"/>
        <rFont val="Calibri"/>
        <family val="2"/>
      </rPr>
      <t>or farms:</t>
    </r>
  </si>
  <si>
    <t>Total number of sampled farms: 10% of the farms included in the Internal Social Management System (minimum 2; maximum 10):</t>
  </si>
  <si>
    <t>Description of sampled farms (if applicable):</t>
  </si>
  <si>
    <t xml:space="preserve">Total number of workers at the time of the audit </t>
  </si>
  <si>
    <r>
      <t xml:space="preserve">Man-days for </t>
    </r>
    <r>
      <rPr>
        <b/>
        <sz val="11"/>
        <color indexed="55"/>
        <rFont val="Calibri"/>
        <family val="2"/>
      </rPr>
      <t>sampled business partners/</t>
    </r>
    <r>
      <rPr>
        <b/>
        <sz val="11"/>
        <color indexed="8"/>
        <rFont val="Calibri"/>
        <family val="2"/>
      </rPr>
      <t>farms (if applicable):</t>
    </r>
  </si>
  <si>
    <t>Farm</t>
  </si>
  <si>
    <t>Sub Chapter</t>
  </si>
  <si>
    <t>Main Auditee</t>
  </si>
  <si>
    <t>SCORE</t>
  </si>
  <si>
    <t>Total A</t>
  </si>
  <si>
    <t>Total B</t>
  </si>
  <si>
    <t>Total C</t>
  </si>
  <si>
    <t>Total D</t>
  </si>
  <si>
    <t>Total E</t>
  </si>
  <si>
    <t>OVERAL SCORE</t>
  </si>
  <si>
    <t>Full_Audit</t>
  </si>
  <si>
    <t>Follow_up_Audit</t>
  </si>
  <si>
    <t>Environment</t>
  </si>
  <si>
    <t>Scope</t>
  </si>
  <si>
    <t>Main Auditee &amp; Farms</t>
  </si>
  <si>
    <t>Contactperson</t>
  </si>
  <si>
    <t>1:00 AM</t>
  </si>
  <si>
    <t>1:15 AM</t>
  </si>
  <si>
    <t>1:30 AM</t>
  </si>
  <si>
    <t>1:45 AM</t>
  </si>
  <si>
    <t>2:00 AM</t>
  </si>
  <si>
    <t>2:15 AM</t>
  </si>
  <si>
    <t>2:30 AM</t>
  </si>
  <si>
    <t>2:45 AM</t>
  </si>
  <si>
    <t>3:00 AM</t>
  </si>
  <si>
    <t>3:15 AM</t>
  </si>
  <si>
    <t>3:30 AM</t>
  </si>
  <si>
    <t>3:45 AM</t>
  </si>
  <si>
    <t>4:00 AM</t>
  </si>
  <si>
    <t>4:15 AM</t>
  </si>
  <si>
    <t>4:30 AM</t>
  </si>
  <si>
    <t>4:45 AM</t>
  </si>
  <si>
    <t>5:00 AM</t>
  </si>
  <si>
    <t>5:15 AM</t>
  </si>
  <si>
    <t>5:30 AM</t>
  </si>
  <si>
    <t>5:45 AM</t>
  </si>
  <si>
    <t>6:00 AM</t>
  </si>
  <si>
    <t>6:15 AM</t>
  </si>
  <si>
    <t>6:30 AM</t>
  </si>
  <si>
    <t>6:45 AM</t>
  </si>
  <si>
    <t>7:00 AM</t>
  </si>
  <si>
    <t>7:15 AM</t>
  </si>
  <si>
    <t>7:30 AM</t>
  </si>
  <si>
    <t>7:45 AM</t>
  </si>
  <si>
    <t>8:00 AM</t>
  </si>
  <si>
    <t>8:15 AM</t>
  </si>
  <si>
    <t>8:30 AM</t>
  </si>
  <si>
    <t>8:45 AM</t>
  </si>
  <si>
    <t>9:00 AM</t>
  </si>
  <si>
    <t>9:15 AM</t>
  </si>
  <si>
    <t>9:30 AM</t>
  </si>
  <si>
    <t>9:45 AM</t>
  </si>
  <si>
    <t>1:00 PM</t>
  </si>
  <si>
    <t>1:15 PM</t>
  </si>
  <si>
    <t>1:30 PM</t>
  </si>
  <si>
    <t>1:45 PM</t>
  </si>
  <si>
    <t>2:00 PM</t>
  </si>
  <si>
    <t>2:15 PM</t>
  </si>
  <si>
    <t>2:30 PM</t>
  </si>
  <si>
    <t>2:45 PM</t>
  </si>
  <si>
    <t>3:00 PM</t>
  </si>
  <si>
    <t>3:15 PM</t>
  </si>
  <si>
    <t>3:30 PM</t>
  </si>
  <si>
    <t>3:45 PM</t>
  </si>
  <si>
    <t>4:00 PM</t>
  </si>
  <si>
    <t>4:15 PM</t>
  </si>
  <si>
    <t>4:30 PM</t>
  </si>
  <si>
    <t>4:45 PM</t>
  </si>
  <si>
    <t>5:00 PM</t>
  </si>
  <si>
    <t>5:15 PM</t>
  </si>
  <si>
    <t>5:30 PM</t>
  </si>
  <si>
    <t>5:45 PM</t>
  </si>
  <si>
    <t>6:00 PM</t>
  </si>
  <si>
    <t>6:15 PM</t>
  </si>
  <si>
    <t>6:30 PM</t>
  </si>
  <si>
    <t>6:45 PM</t>
  </si>
  <si>
    <t>7:00 PM</t>
  </si>
  <si>
    <t>7:15 PM</t>
  </si>
  <si>
    <t>7:30 PM</t>
  </si>
  <si>
    <t>7:45 PM</t>
  </si>
  <si>
    <t>8:00 PM</t>
  </si>
  <si>
    <t>8:15 PM</t>
  </si>
  <si>
    <t>8:30 PM</t>
  </si>
  <si>
    <t>8:45 PM</t>
  </si>
  <si>
    <t>9:00 PM</t>
  </si>
  <si>
    <t>9:15 PM</t>
  </si>
  <si>
    <t>9:30 PM</t>
  </si>
  <si>
    <t>9:45 PM</t>
  </si>
  <si>
    <t>SO</t>
  </si>
  <si>
    <t xml:space="preserve">Internal (e.g. worker) </t>
  </si>
  <si>
    <t>External (e.g. trade union)</t>
  </si>
  <si>
    <t>Topic_Related</t>
  </si>
  <si>
    <t>Anti-corruption</t>
  </si>
  <si>
    <t>Freedom of association</t>
  </si>
  <si>
    <t>Grievance mechanism</t>
  </si>
  <si>
    <t>Occupational Health and Safety</t>
  </si>
  <si>
    <t>Special protection for vulnerable workers</t>
  </si>
  <si>
    <t>Other (please specify in the "comments" column)</t>
  </si>
  <si>
    <t>Zero tolerance status identified:</t>
  </si>
  <si>
    <t>per</t>
  </si>
  <si>
    <t>31/12/2010</t>
  </si>
  <si>
    <t>Mgmt/General Admin</t>
  </si>
  <si>
    <t>Packing</t>
  </si>
  <si>
    <t>Any workers in the apprentices,disabled,migrant,pregnant and &lt; 18 should also be included in your Full time,Part time and Seasonal count.</t>
  </si>
  <si>
    <t xml:space="preserve"> Total of Full time,Part time and Seasonal Workers</t>
  </si>
  <si>
    <t>No of Interview</t>
  </si>
  <si>
    <r>
      <t>Legal minimum wage applicable in local currency</t>
    </r>
    <r>
      <rPr>
        <b/>
        <sz val="11"/>
        <color indexed="57"/>
        <rFont val="Calibri"/>
        <family val="2"/>
      </rPr>
      <t xml:space="preserve"> </t>
    </r>
    <r>
      <rPr>
        <b/>
        <i/>
        <sz val="11"/>
        <color indexed="57"/>
        <rFont val="Calibri"/>
        <family val="2"/>
      </rPr>
      <t>(e.g. X per hour)</t>
    </r>
    <r>
      <rPr>
        <b/>
        <sz val="11"/>
        <color indexed="8"/>
        <rFont val="Calibri"/>
        <family val="2"/>
      </rPr>
      <t>:</t>
    </r>
  </si>
  <si>
    <r>
      <t xml:space="preserve">Legal minimum wage applicable in euros </t>
    </r>
    <r>
      <rPr>
        <b/>
        <i/>
        <sz val="11"/>
        <color indexed="57"/>
        <rFont val="Calibri"/>
        <family val="2"/>
      </rPr>
      <t>(i.e. X per hour):</t>
    </r>
  </si>
  <si>
    <r>
      <t xml:space="preserve">Calculated living wage in local currency </t>
    </r>
    <r>
      <rPr>
        <b/>
        <i/>
        <sz val="11"/>
        <color indexed="57"/>
        <rFont val="Calibri"/>
        <family val="2"/>
      </rPr>
      <t>(e.g. X per hour)</t>
    </r>
    <r>
      <rPr>
        <b/>
        <sz val="11"/>
        <color indexed="8"/>
        <rFont val="Calibri"/>
        <family val="2"/>
      </rPr>
      <t>:</t>
    </r>
  </si>
  <si>
    <r>
      <t xml:space="preserve">Calculated living wage in euros </t>
    </r>
    <r>
      <rPr>
        <b/>
        <i/>
        <sz val="11"/>
        <color indexed="57"/>
        <rFont val="Calibri"/>
        <family val="2"/>
      </rPr>
      <t>(i.e. X per hour)</t>
    </r>
    <r>
      <rPr>
        <b/>
        <sz val="11"/>
        <color indexed="8"/>
        <rFont val="Calibri"/>
        <family val="2"/>
      </rPr>
      <t>:</t>
    </r>
  </si>
  <si>
    <r>
      <t>Lowest wage for regular working time paid in the company in local currency</t>
    </r>
    <r>
      <rPr>
        <b/>
        <i/>
        <sz val="11"/>
        <color indexed="57"/>
        <rFont val="Calibri"/>
        <family val="2"/>
      </rPr>
      <t xml:space="preserve"> (e.g. X per hour)</t>
    </r>
    <r>
      <rPr>
        <b/>
        <sz val="11"/>
        <color indexed="8"/>
        <rFont val="Calibri"/>
        <family val="2"/>
      </rPr>
      <t>:</t>
    </r>
  </si>
  <si>
    <t>Stop Child Labour</t>
  </si>
  <si>
    <t>Click here for Evidence Description</t>
  </si>
  <si>
    <t>Limited extent (follow-up on a few Performance Areas only)</t>
  </si>
  <si>
    <t>Limited scope (one production unit)</t>
  </si>
  <si>
    <t>City:</t>
  </si>
  <si>
    <t>Province:</t>
  </si>
  <si>
    <t>Producers Contact Information</t>
  </si>
  <si>
    <t>Findings for PA in Local Language</t>
  </si>
  <si>
    <t>Findings for PA</t>
  </si>
  <si>
    <t>Enter Findings per Question</t>
  </si>
  <si>
    <t>Findings in local language</t>
  </si>
  <si>
    <t>amfori BSCI prescription is a minimum indicator. Please follow additional criteria for mitigating measures.</t>
  </si>
  <si>
    <t xml:space="preserve">If the number of man-days applied in this audit is inferior to the number prescribed by amfori BSCI, the cells are automatically highlighted in RED. </t>
  </si>
  <si>
    <t>Auditee's business activities (latest figures at the time of the amfori BSCI audit)</t>
  </si>
  <si>
    <r>
      <t xml:space="preserve">Total number of workers in the production unit to be monitored (if applicable) :
</t>
    </r>
    <r>
      <rPr>
        <b/>
        <i/>
        <sz val="11"/>
        <color indexed="57"/>
        <rFont val="Calibri"/>
        <family val="2"/>
      </rPr>
      <t>This applies only in the exceptional cases when the scope of the audit is one part of a legal entity, in which case the amfori BSCI mandays refer to this figure.</t>
    </r>
    <r>
      <rPr>
        <b/>
        <sz val="11"/>
        <color indexed="8"/>
        <rFont val="Calibri"/>
        <family val="2"/>
      </rPr>
      <t xml:space="preserve">
</t>
    </r>
  </si>
  <si>
    <t xml:space="preserve">Is there satisfactory evidence that the auditee has set up an effective management system to implement the amfori BSCI Code of Conduct? </t>
  </si>
  <si>
    <t xml:space="preserve">Is there satisfactory evidence that a senior manager has been appointed to ensure that the amfori BSCI values and principles are followed in a satisfactory manner?  </t>
  </si>
  <si>
    <t xml:space="preserve">Is there satisfactory evidence that the auditee has a good overview of the significant business partners and their level of alignment with amfori BSCI Code of conduct? </t>
  </si>
  <si>
    <t>Is there satisfactory evidence that the auditee monitors how its business partners observe the amfori  BSCI Code of Conduct?</t>
  </si>
  <si>
    <t xml:space="preserve">Is there satisfactory evidence that the auditee defines long term goals to protect workers according to the amfori BSCI Code of Conduct? </t>
  </si>
  <si>
    <t xml:space="preserve">Is there satisfactory evidence the auditee takes the necessary preventative and/or remedial measures so  workers are not harassed or disciplined on any grounds of discrimination listed in the amfori BSCI Code? </t>
  </si>
  <si>
    <t>Is there satisfactory evidence that the auditee request of overtime is in line with the requirements of the amfori BSCI Code of Conduct?</t>
  </si>
  <si>
    <t>As per amfori BSCI minimum audit length table</t>
  </si>
  <si>
    <t/>
  </si>
  <si>
    <t>Fully-announced</t>
  </si>
  <si>
    <t>Worker representative</t>
  </si>
  <si>
    <t>12790665</t>
  </si>
  <si>
    <t>12790666</t>
  </si>
  <si>
    <t>12790667</t>
  </si>
  <si>
    <t>12790668</t>
  </si>
  <si>
    <t>12790669</t>
  </si>
  <si>
    <t>12790670</t>
  </si>
  <si>
    <t>12790671</t>
  </si>
  <si>
    <t>12790672</t>
  </si>
  <si>
    <t>12790673</t>
  </si>
  <si>
    <t>12790674</t>
  </si>
  <si>
    <t>12790675</t>
  </si>
  <si>
    <t>12790676</t>
  </si>
  <si>
    <t>12790677</t>
  </si>
  <si>
    <t>12790678</t>
  </si>
  <si>
    <t>12790679</t>
  </si>
  <si>
    <t>12790680</t>
  </si>
  <si>
    <t>12790681</t>
  </si>
  <si>
    <t>12790682</t>
  </si>
  <si>
    <t>12790683</t>
  </si>
  <si>
    <t>12790684</t>
  </si>
  <si>
    <t>12790685</t>
  </si>
  <si>
    <t>12790686</t>
  </si>
  <si>
    <t>12790687</t>
  </si>
  <si>
    <t>12790688</t>
  </si>
  <si>
    <t>12790689</t>
  </si>
  <si>
    <t>12790690</t>
  </si>
  <si>
    <t>12790691</t>
  </si>
  <si>
    <t>12790692</t>
  </si>
  <si>
    <t>12790693</t>
  </si>
  <si>
    <t>12790694</t>
  </si>
  <si>
    <t>12790695</t>
  </si>
  <si>
    <t>12790696</t>
  </si>
  <si>
    <t>12790697</t>
  </si>
  <si>
    <t>12790698</t>
  </si>
  <si>
    <t>12790699</t>
  </si>
  <si>
    <t>12790700</t>
  </si>
  <si>
    <t>12790701</t>
  </si>
  <si>
    <t>12790702</t>
  </si>
  <si>
    <t>12790703</t>
  </si>
  <si>
    <t>12790704</t>
  </si>
  <si>
    <t>12790705</t>
  </si>
  <si>
    <t>12790706</t>
  </si>
  <si>
    <t>12790707</t>
  </si>
  <si>
    <t>12790708</t>
  </si>
  <si>
    <t>12790709</t>
  </si>
  <si>
    <t>12790710</t>
  </si>
  <si>
    <t>12790711</t>
  </si>
  <si>
    <t>12790712</t>
  </si>
  <si>
    <t>12790713</t>
  </si>
  <si>
    <t>12790714</t>
  </si>
  <si>
    <t>12790715</t>
  </si>
  <si>
    <t>12790716</t>
  </si>
  <si>
    <t>12790717</t>
  </si>
  <si>
    <t>12790718</t>
  </si>
  <si>
    <t>12790719</t>
  </si>
  <si>
    <t>12790720</t>
  </si>
  <si>
    <t>12790721</t>
  </si>
  <si>
    <t>12790722</t>
  </si>
  <si>
    <t>12790723</t>
  </si>
  <si>
    <t>12790724</t>
  </si>
  <si>
    <t>12790725</t>
  </si>
  <si>
    <t>12790726</t>
  </si>
  <si>
    <t>12790727</t>
  </si>
  <si>
    <t>12790728</t>
  </si>
  <si>
    <t>12790729</t>
  </si>
  <si>
    <t>12790730</t>
  </si>
  <si>
    <t>12790731</t>
  </si>
  <si>
    <t>12790732</t>
  </si>
  <si>
    <t>12790733</t>
  </si>
  <si>
    <t>12790734</t>
  </si>
  <si>
    <t>12790735</t>
  </si>
  <si>
    <t>12790736</t>
  </si>
  <si>
    <t>12790737</t>
  </si>
  <si>
    <t>12790738</t>
  </si>
  <si>
    <t>12790739</t>
  </si>
  <si>
    <t>12790740</t>
  </si>
  <si>
    <t>12790741</t>
  </si>
  <si>
    <t>12790742</t>
  </si>
  <si>
    <t>12790743</t>
  </si>
  <si>
    <t>12790744</t>
  </si>
  <si>
    <t>12790745</t>
  </si>
  <si>
    <t>None</t>
    <phoneticPr fontId="17" type="noConversion"/>
  </si>
  <si>
    <t>150% of regular wage rate for overtime hours on weekdays and 200% of regular wage rate for overtime hours on rest days and 300% of regular wage rate for overtime hours on holidays</t>
  </si>
  <si>
    <t>40.00</t>
  </si>
  <si>
    <t>Within 3 hours per day and 36 hours per month</t>
  </si>
  <si>
    <t>N/A</t>
    <phoneticPr fontId="18" type="noConversion"/>
  </si>
  <si>
    <t>Chinese</t>
    <phoneticPr fontId="18" type="noConversion"/>
  </si>
  <si>
    <t>Not applicable</t>
    <phoneticPr fontId="17" type="noConversion"/>
  </si>
  <si>
    <t>There is no zero tolerance case noted.</t>
    <phoneticPr fontId="17" type="noConversion"/>
  </si>
  <si>
    <t>Partially (please specify)</t>
    <phoneticPr fontId="17" type="noConversion"/>
  </si>
  <si>
    <t>The auditee partially provided this information prior to this audit.</t>
  </si>
  <si>
    <t>None</t>
    <phoneticPr fontId="17" type="noConversion"/>
  </si>
  <si>
    <t>urgent production task</t>
    <phoneticPr fontId="17" type="noConversion"/>
  </si>
  <si>
    <r>
      <t>This is</t>
    </r>
    <r>
      <rPr>
        <sz val="11"/>
        <color indexed="8"/>
        <rFont val="Arial"/>
        <family val="2"/>
      </rPr>
      <t xml:space="preserve"> not RUC audit.</t>
    </r>
  </si>
  <si>
    <t>Minimum age</t>
  </si>
  <si>
    <t>No agreement</t>
  </si>
  <si>
    <t>Fire extinguishers</t>
  </si>
  <si>
    <t>First aider</t>
  </si>
  <si>
    <t>8:00-12:00</t>
  </si>
  <si>
    <t>8:00-16:00</t>
  </si>
  <si>
    <t>Two shifts</t>
  </si>
  <si>
    <t>Three shifts</t>
  </si>
  <si>
    <t>0:00-8:00</t>
  </si>
  <si>
    <t>Regular shift</t>
  </si>
  <si>
    <t>Time recording</t>
  </si>
  <si>
    <t>Finding count</t>
  </si>
  <si>
    <t>Sample month</t>
  </si>
  <si>
    <t>Sample size</t>
  </si>
  <si>
    <t>daily OT</t>
  </si>
  <si>
    <t>weekly hours</t>
  </si>
  <si>
    <t>night rest</t>
  </si>
  <si>
    <t>morning early</t>
  </si>
  <si>
    <t>night late</t>
  </si>
  <si>
    <t>sampling</t>
  </si>
  <si>
    <t>Canteen</t>
  </si>
  <si>
    <t>Legal hourly</t>
  </si>
  <si>
    <t>Euro</t>
  </si>
  <si>
    <t>Factory monthly</t>
  </si>
  <si>
    <t>Factory hourly</t>
  </si>
  <si>
    <t>Since</t>
  </si>
  <si>
    <t>Audit scope</t>
  </si>
  <si>
    <t>Month wage</t>
  </si>
  <si>
    <t>hourly wage</t>
  </si>
  <si>
    <t>regular hours</t>
  </si>
  <si>
    <t>regular wage</t>
  </si>
  <si>
    <t>night ot</t>
  </si>
  <si>
    <t>incentive</t>
  </si>
  <si>
    <t>consecutive</t>
  </si>
  <si>
    <t>month OT-1</t>
  </si>
  <si>
    <t>month OT-2</t>
  </si>
  <si>
    <t>rest ot</t>
  </si>
  <si>
    <t>rest ot fee</t>
  </si>
  <si>
    <t>net wage</t>
  </si>
  <si>
    <t>deduction</t>
  </si>
  <si>
    <t>gross wage</t>
  </si>
  <si>
    <t>night ot fee</t>
  </si>
  <si>
    <t>Legal mw</t>
  </si>
  <si>
    <t>pay method</t>
  </si>
  <si>
    <t>Pay basis</t>
  </si>
  <si>
    <t>total workers</t>
  </si>
  <si>
    <t>retired</t>
  </si>
  <si>
    <t>supposed</t>
  </si>
  <si>
    <t>pension</t>
  </si>
  <si>
    <t>medical</t>
  </si>
  <si>
    <t>unemployment</t>
  </si>
  <si>
    <t>injury</t>
  </si>
  <si>
    <t>maternity</t>
  </si>
  <si>
    <t>social insurance</t>
  </si>
  <si>
    <t>Commercial insurance</t>
  </si>
  <si>
    <t>total ratio</t>
  </si>
  <si>
    <t>PPE</t>
  </si>
  <si>
    <t>MSDS</t>
  </si>
  <si>
    <t>warehouse</t>
  </si>
  <si>
    <t>anti-leakage</t>
  </si>
  <si>
    <t>Fire acceptance</t>
  </si>
  <si>
    <t>Fire sprinkler</t>
  </si>
  <si>
    <t>Fire hydrant</t>
  </si>
  <si>
    <t>Fire alarm</t>
  </si>
  <si>
    <t>light visible</t>
  </si>
  <si>
    <t>noisy area</t>
  </si>
  <si>
    <t>Smoke detector</t>
  </si>
  <si>
    <t>First aid kit</t>
  </si>
  <si>
    <t>The factory had not obtained a food catering license for the employee canteen.</t>
  </si>
  <si>
    <t>Law Reference: Article 29 of the Law of the PRC on the Food Safety.</t>
  </si>
  <si>
    <t>Dormitory</t>
  </si>
  <si>
    <t>Child labor policy</t>
  </si>
  <si>
    <t>policy number</t>
  </si>
  <si>
    <t>issue date</t>
  </si>
  <si>
    <t>Recruiting Procedure</t>
  </si>
  <si>
    <t>Personal files</t>
  </si>
  <si>
    <t>No child labor</t>
  </si>
  <si>
    <t>Young worker policy procedure</t>
  </si>
  <si>
    <t>Registration</t>
  </si>
  <si>
    <t>Health check</t>
  </si>
  <si>
    <t>PA9</t>
  </si>
  <si>
    <t xml:space="preserve">However, based on satisfactory evidence, gaps are still identified in this performance area as below: </t>
  </si>
  <si>
    <t>Based on satisfactory evidence, the factory fully respect the principle of this performance area.</t>
  </si>
  <si>
    <t>Labor contracts</t>
  </si>
  <si>
    <t>Contract copy</t>
  </si>
  <si>
    <t>建立劳动关系，应当订立书面劳动合同。已建立劳动关系，未同时订立书面劳动合同的，应当自用工之日起一个月内订立书面劳动合同。用人单位与劳动者在用工前订立劳动合同的，劳动关系自用工之日起建立。</t>
  </si>
  <si>
    <t>用人单位招用人员时，必须核查被招用人员的身份证；对不满16周岁的未成年人，一律不得录用。用人单位录用人员的录用登记、核查材料应当妥善保管。</t>
  </si>
  <si>
    <t>XX out of XX sample workers' employment contracts were not provided. They have established a employment relationship with the factory more than a month.</t>
  </si>
  <si>
    <t>根据《中华人民共和国劳动合同法》第16条。</t>
  </si>
  <si>
    <t>根据《中华人民共和国劳动合同法》第10条。</t>
  </si>
  <si>
    <t>劳动合同由用人单位与劳动者协商一致，并经用人单位与劳动者在劳动合同文本上签字或者盖章生效。劳动合同文本由用人单位和劳动者各执一份。</t>
  </si>
  <si>
    <t>It was noted that a copy of the employment contract was not provided to each worker.</t>
  </si>
  <si>
    <t>劳动合同没有发给员工一份副本。</t>
  </si>
  <si>
    <t>无固定期限劳动合同，是指用人单位与劳动者约定无确定终止时间的劳动合同。 用人单位与劳动者协商一致，可以订立无固定期限劳动合同。有下列情形之一，劳动者提出或者同意续订、订立劳动合同的，除劳动者提出订立固定期限劳动合同外，应当订立无固定期限劳动合同： 
(一)劳动者在该用人单位连续工作满十年的； 
(二)用人单位初次实行劳动合同制度或者国有企业改制重新订立劳动合同时，劳动者在该用人单位连续工作满十年且距法定退休年龄不足十年的； 
(三)连续订立二次固定期限劳动合同，且劳动者没有本法第三十九条和第四十条第一项、第二项规定的情形，续订劳动合同的。 
用人单位自用工之日起满一年不与劳动者订立书面劳动合同的，视为用人单位与劳动者已订立无固定期限劳动合同。</t>
  </si>
  <si>
    <t xml:space="preserve">用人单位应当在解除或者终止劳动合同时出具解除或者终止劳动合同的证明，并在十五日内为劳动者办理档案和社会保险关系转移手续。 劳动者应当按照双方约定，办理工作交接。用人单位依照本法有关规定应当向劳动者支付经济补偿的，在办结工作交接时支付。 用人单位对已经解除或者终止的劳动合同的文本，至少保存二年备查。 </t>
  </si>
  <si>
    <t>根据《中华人民共和国劳动合同法》第50条。</t>
  </si>
  <si>
    <t>Law Reference: Article 50 of the Law of the People’s Republic of China on Employment Contract.</t>
  </si>
  <si>
    <t>Probation period</t>
  </si>
  <si>
    <t>safety label</t>
  </si>
  <si>
    <t>Youngest age</t>
  </si>
  <si>
    <t>Non-fixed</t>
  </si>
  <si>
    <t>根据《中华人民共和国劳动合同法》第14条。</t>
  </si>
  <si>
    <t>10.2.e
无固定期限合同</t>
  </si>
  <si>
    <t>10.2.b
劳动合同</t>
  </si>
  <si>
    <t>10.2.c
合同副本</t>
  </si>
  <si>
    <t>Retired agreement</t>
  </si>
  <si>
    <t>10.2.g
离职合同保留2年</t>
  </si>
  <si>
    <t>Law Reference: Article 21 of the labor law, PRC.</t>
  </si>
  <si>
    <t>根据《中华人民共和国劳动法》第21条。</t>
  </si>
  <si>
    <t>10.2.i
退休劳务协议</t>
  </si>
  <si>
    <t>Law Reference: Article 19 of the Law of the People’s Republic of China on Employment Contract.</t>
  </si>
  <si>
    <t>根据《中华人民共和国劳动合同法》第19条。</t>
  </si>
  <si>
    <t>劳动合同期限三个月以上不满一年的，试用期不得超过一个月；劳动合同期限一年以上不满三年的，试用期不得超过二个月；三年以上固定期限和无固定期限的劳动合同，试用期不得超过六个月。 
同一用人单位与同一劳动者只能约定一次试用期。 以完成一定工作任务为期限的劳动合同或者劳动合同期限不满三个月的，不得约定试用期。 试用期包含在劳动合同期限内。劳动合同仅约定试用期的，试用期不成立，该期限为劳动合同期限。</t>
  </si>
  <si>
    <t>试用期条款不符合法律。</t>
  </si>
  <si>
    <t xml:space="preserve">Law Reference: Article 10 of the Law of the People’s Republic of China on Employment Contract. </t>
  </si>
  <si>
    <t>EIA</t>
  </si>
  <si>
    <t>Approval</t>
  </si>
  <si>
    <t>Acceptance</t>
  </si>
  <si>
    <t>根据《中华人民共和国环境影响评价法》第16条。</t>
  </si>
  <si>
    <t>国家根据建设项目对环境的影响程度，对建设项目的环境影响评价实行分类管理。
建设单位应当按照下列规定组织编制环境影响报告书、环境影响报告表或者填报环境影响登记表(以下统称环境影响评价文件)：
(一)、可能造成重大环境影响的，应当编制环境影响报告书，对产生的环境影响进行全面评价；
(二)、可能造成轻度环境影响的，应当编制环境影响报告表，对产生的环境影响进行分析或者专项评价；
(三)、对环境影响很小、不需要进行环境影响评价的，应当填报环境影响登记表。
建设项目的环境影响评价分类管理名录，由国务院环境保护行政主管部门制定并公布。</t>
  </si>
  <si>
    <t>It was noted that the factory added the electroplating / Spray painting process. However, the factory was unable to provide the new report of environmental impacts / report form of environmental impacts / registration form of environmental impacts for the new added process.</t>
  </si>
  <si>
    <t>审核员发现工厂新增加了电镀/喷漆工序，但工厂未能提供新增工序的环境影响报告书/环境影响报告表/填报环境影响登记表。
建设项目的环境影响评价文件经批准后，建设项目的性质、规模、地点、采用的生产工艺或者防治污染、防止生态破坏的措施发生重大变动的，建设单位应当重新报批建设项目的环境影响评价文件。</t>
  </si>
  <si>
    <t>根据《中华人民共和国环境影响评价法》第24条。</t>
  </si>
  <si>
    <t>It was noted that factory management was unable to provide the approval document of environment impact assessment for review.</t>
  </si>
  <si>
    <t>根据《中华人民共和国环境影响评价法》第22条。</t>
  </si>
  <si>
    <t>建设项目的环境影响评价文件，由建设单位按照国务院的规定报有审批权的环境保护行政主管部门审批；建设项目有行业主管部门的，其环境影响报告书或者环境影响报告表应当经行业主管部门预审后，报有审批权的环境保护行政主管部门审批。</t>
  </si>
  <si>
    <t>工厂不能提供建设项目环境影响评价批复文件供审核。</t>
  </si>
  <si>
    <t>Discharge permit</t>
  </si>
  <si>
    <t>EIA cover all</t>
  </si>
  <si>
    <t>Hazardous waste</t>
  </si>
  <si>
    <t>HW08废矿物油与含矿物油废物</t>
  </si>
  <si>
    <t>HW06废有机溶剂与含有机溶剂废物</t>
  </si>
  <si>
    <t>HW12染料、涂料废物</t>
  </si>
  <si>
    <t>HW16感光材料废物</t>
  </si>
  <si>
    <t>HW17表面处理废物</t>
  </si>
  <si>
    <t>HW21含铬废物</t>
  </si>
  <si>
    <t>HW34废酸</t>
  </si>
  <si>
    <t>Transfer manifest</t>
  </si>
  <si>
    <t>Hazardous waste warehouse</t>
  </si>
  <si>
    <t>Qualified dispose supplier</t>
  </si>
  <si>
    <t>The hazardous waste generated in the glue spraying and oil painting process is not given to the qualified recycling unit for treatment.</t>
  </si>
  <si>
    <t>喷胶，油边工序产生的危险废物没有交给有资质的回收单位来处理。</t>
  </si>
  <si>
    <t>根据《中华人民共和国固体废物污染环境防治法》第57。</t>
  </si>
  <si>
    <t>收集、贮存危险废物，必须按照危险废物特性分类进行。禁止混合收集、贮存、运输、处置性质不相容而未经安全性处置的危险废物。 
贮存危险废物必须采取符合国家环境保护标准的防护措施，并不得超过一年；确需延长期限的，必须报经原批准经营许可证的环境保护行政主管部门批准；法律、行政法规另有规定的除外。 
禁止将危险废物混入非危险废物中贮存。</t>
  </si>
  <si>
    <t>根据《中华人民共和国固体废物污染环境防治法》第58条。</t>
  </si>
  <si>
    <t>Law Reference: Article 58 of the People’s Republic of China on the Prevention and Control of Environmental Pollution by Solid Waste.</t>
  </si>
  <si>
    <t>The hazardous wastes were not stored in a special designed warehouse.</t>
  </si>
  <si>
    <t>没有危险废弃物专仓。</t>
  </si>
  <si>
    <t>12.3.1
EIA</t>
  </si>
  <si>
    <t>12.3.2
EIA approval</t>
  </si>
  <si>
    <t>12.3.3
EIA Acceptance</t>
  </si>
  <si>
    <t>12.3.4
EIA update</t>
  </si>
  <si>
    <t>12.4.1
Qualified dispose supplier</t>
  </si>
  <si>
    <t>12.4.2
Transfer manifest</t>
  </si>
  <si>
    <t>12.4.3
hazardous waste special warehouse</t>
  </si>
  <si>
    <t>Fire drill</t>
  </si>
  <si>
    <t>Law Reference: Article 4, Regulation on Prohibition of Child Labor.</t>
  </si>
  <si>
    <t>入职超过一个月还没有签订劳动合同。</t>
  </si>
  <si>
    <t xml:space="preserve">劳动合同应当具备以下条款： 
(一)用人单位的名称、住所和法定代表人或者主要负责人； 
(二)劳动者的姓名、住址和居民身份证或者其他有效身份证件号码； 
(三)劳动合同期限； 
(四)工作内容和工作地点； 
(五)工作时间和休息休假； 
(六)劳动报酬； 
(七)社会保险； 
(八)劳动保护、劳动条件和职业危害防护； 
(九)法律、法规规定应当纳入劳动合同的其他事项。 </t>
  </si>
  <si>
    <t>Law Reference: Article 17 of the Law of the People’s Republic of China on Employment Contract.</t>
  </si>
  <si>
    <t>根据《中华人民共和国劳动合同法》第17条。</t>
  </si>
  <si>
    <t>合同条款不完整。</t>
  </si>
  <si>
    <t>It was noted that the employment contracts did not include all mandatory clauses as legally required.</t>
  </si>
  <si>
    <t xml:space="preserve">Law Reference: Article 14 of the Law of the People’s Republic of China on Employment Contract. </t>
  </si>
  <si>
    <t>Law Reference: Article 16 of the Law of the People’s Republic of China on Employment Contract.</t>
  </si>
  <si>
    <t>Law Reference: Article 16 of Law of the People’s Republic of China on Appraising of Environment Impacts.</t>
  </si>
  <si>
    <t>Law Reference: Article 22 of Law of the People’s Republic of China on Appraising of Environment Impacts.</t>
  </si>
  <si>
    <t>Law Reference: Article 24 of Law of the People’s Republic of China on Appraising of Environment Impacts.</t>
  </si>
  <si>
    <t>Law Reference: Article 57 of Law of the People’s Republic of China on Prevention and Control of Solid Waste Pollution.</t>
  </si>
  <si>
    <t>Resigned contract kept Year</t>
  </si>
  <si>
    <t>Eye wash</t>
  </si>
  <si>
    <t>根据客户标准，工厂应每层楼最少提供一个药品充足的急救药箱。</t>
  </si>
  <si>
    <t>车间没有药箱。</t>
  </si>
  <si>
    <t>根据客户标准，至少每班次须有一名急救人员。</t>
  </si>
  <si>
    <t>审核员发现工厂没有经过培训的急救人员。</t>
  </si>
  <si>
    <t>Client’s Standard: At least one person on each shift shall be trained on first aid.</t>
  </si>
  <si>
    <t>7.18 
first aid kit</t>
  </si>
  <si>
    <t>7.18 
first aider</t>
  </si>
  <si>
    <t xml:space="preserve">There was no trained first aid personnel was available in the factory.  </t>
  </si>
  <si>
    <t>根据《中华人民共和国职业病防治法》第26条。</t>
  </si>
  <si>
    <t>对可能发生急性职业损伤的有毒、有害工作场所，用人单位应当设置报警装置，配置现场急救用品、冲洗设备、应急撤离通道和必要的泄险区。</t>
  </si>
  <si>
    <t>It was noted that no eye washing facilities were available in paint spraying workshop.</t>
  </si>
  <si>
    <t>Law Reference: Article 26 of Law of the People’s Republic of China on the Prevention and Treatment of Occupational Diseases.</t>
  </si>
  <si>
    <t>7.18
Eye wash</t>
  </si>
  <si>
    <t>喷油车间没有洗眼器。</t>
  </si>
  <si>
    <t>Safety guard</t>
  </si>
  <si>
    <t>检验报告</t>
  </si>
  <si>
    <t>操作证</t>
  </si>
  <si>
    <t>急停按钮</t>
  </si>
  <si>
    <t>冲压保护</t>
  </si>
  <si>
    <t>特种设备使用单位应当按照安全技术规范的定期检验要求，在安全检验合格有效期届满前１个月向特种设备检验检测机构提出定期检验要求。未经定期检验或者检验不合格的特种设备，不得继续使用。</t>
  </si>
  <si>
    <t>根据《特种设备安全监察条例》第28条。</t>
  </si>
  <si>
    <t>Law Reference: Article 28 of Safety Monitoring Regulation of Special Equipment.</t>
  </si>
  <si>
    <t>7.17
特种设备检验</t>
  </si>
  <si>
    <t>7.17
Safety guard</t>
  </si>
  <si>
    <t>工厂应在压力机危险区内，为操作者选择、提供并强制使用安全装置，安全装置包括安全保护装置(如各种防护罩、防护隔栏等)与安全控制装置(如双手控制装置、光控式保护装置等)两大类。当压力机操作危险区的开口尺寸小于等于6mm时，则不在此限。</t>
  </si>
  <si>
    <t>根据《GB 8176-2012冲压车间安全生产通则》第7.5.1条。</t>
  </si>
  <si>
    <t>Law Reference: Article 7.5.1 of Safety production code for presswork (GB 8176-2012).</t>
  </si>
  <si>
    <t>7.17
Punching safety</t>
  </si>
  <si>
    <t>Special equipment list</t>
  </si>
  <si>
    <t>7.17急停</t>
  </si>
  <si>
    <t>针织机没有急停按钮。</t>
  </si>
  <si>
    <t>The knitting machine has no emergency stop button.</t>
  </si>
  <si>
    <t>Law reference: Mechanical safety emergency stop design principles, 4.1.1.</t>
  </si>
  <si>
    <t>锅炉、压力容器、电梯、起重机械、客运索道、大型游乐设施、场(厂)内专用机动车辆的作业人员及其相关管理人员(以下统称特种设备作业人员)，应当按照国家有关规定经特种设备安全监督管理部门考核合格，取得国家统一格式的特种作业人员证书，方可从事相应的作业或者管理工作。</t>
  </si>
  <si>
    <t>根据《特种设备安全监察条例》第38条。</t>
  </si>
  <si>
    <t>Law Reference: Article 38 of Safety Monitoring Regulation of Special Equipment.</t>
  </si>
  <si>
    <t>7.17
特种设备操作证</t>
  </si>
  <si>
    <t>复审</t>
  </si>
  <si>
    <t>特种作业</t>
  </si>
  <si>
    <t>《特种设备作业人员证》每4年复审一次。持证人员应当在复审期届满3个月前，向发证部门提出复审申请。对持证人员在4年内符合有关安全技术规范规定的不间断作业要求和安全、节能教育培训要求，且无违章操作或者管理等不良记录、未造成事故的，发证部门应当按照有关安全技术规范的规定准予复审合格，并在证书正本上加盖发证部门复审合格章。</t>
  </si>
  <si>
    <t>根据《特种设备作业人员监督管理办法》第22条。</t>
  </si>
  <si>
    <t>1名司炉工的特种设备作业人员证没有进行年审并且已经过期。该员工的特种设备作业人员证发于2011年8月(于XX年XX月X日过期)，须在2015年7月进行年审。</t>
  </si>
  <si>
    <t>7.17
特设操作证复审</t>
  </si>
  <si>
    <t>It was noted that no re-inspection was conducted for one boiler operator's special equipment certificate, which was also expired on the date of validation.</t>
  </si>
  <si>
    <t>Law Reference: Article 22 of the Provisions of Supervision and Management for Special Equipment Operators.</t>
  </si>
  <si>
    <t>生产经营单位的特种作业人员必须按照国家有关规定经专门的安全作业培训，取得相应资格，方可上岗作业。
《中华人民共和国劳动法》第55条：从事特种作业的劳动者必须经过专门培训并取得特种作业资格。</t>
  </si>
  <si>
    <t>特种作业操作证每3年复审1次。特种作业人员在特种作业操作证有效期内，连续从事本工种10年以上，严格遵守有关安全生产法律法规的，经原考核发证机关或者从业所在地考核发证机关同意，特种作业操作证的复审时间可以延长至每6年1次。</t>
  </si>
  <si>
    <t>It was noted that no regular inspection had been performed for the welder certificate and the certificate was expired as of the audit date.</t>
  </si>
  <si>
    <t>根据《特种作业人员安全技术培训考核管理规定》第21条。</t>
  </si>
  <si>
    <t>Drinking water source</t>
  </si>
  <si>
    <t>Test report</t>
  </si>
  <si>
    <t>Catering service license</t>
  </si>
  <si>
    <t>国家对食品生产经营实行许可制度。从事食品生产、食品流通、餐饮服务，应当依法取得食品生产许可、食品流通许可、餐饮服务许可。</t>
  </si>
  <si>
    <t>工厂食堂没有取得餐饮服务许可证。</t>
  </si>
  <si>
    <t>7.21
餐饮许可证</t>
  </si>
  <si>
    <t>7.21健康证</t>
  </si>
  <si>
    <t>根据《机关、团体、企业、事业单位消防安全管理规定》第40条.</t>
  </si>
  <si>
    <t>Law Reference: Article 40 of Fire Prevention Regulation for Government offices.</t>
  </si>
  <si>
    <t>7.5 fire drill</t>
  </si>
  <si>
    <t>工厂从来没有举行消防演习。</t>
  </si>
  <si>
    <t>消防安全重点单位应当按照灭火和应急疏散预案，至少每半年进行一次演练，并结合实际，不断完善预案，其他单位应当结合本单位实际，参照制定相应的应急方案至少每年组织一次演练。 消防演练时，应当设置明显标识并事先告知演练范围的人员。</t>
  </si>
  <si>
    <t>生产经营单位必须为从业人员提供符合国家标准或者行业标准的劳动防护用品，并监督、教育从业人员按照使用规则佩戴、使用。</t>
  </si>
  <si>
    <t>7.6 PPE</t>
  </si>
  <si>
    <t>职工有权获得：(1)工作场所使用化学品的特性、有害成分、安全标签以及安全技术说明书等资料；(2)在其工作过程中危险化学品可能导致危害安全与健康的资料；(3)安全技术的培训，包括预防、控制、及防止危险方法的培训和紧急情况处理或应急措施的培训；(4)符合国家规定的劳动防护用品。</t>
  </si>
  <si>
    <t>Law Reference: Article 27 of the Regulation For Chemical Usage Safety in Work Place.</t>
  </si>
  <si>
    <t>7.7 msds</t>
  </si>
  <si>
    <t>使用单位购进的化学品需要转移或分装到其他容器时，应标明其内容。对于危险化学品，在转移或分装后的容器上应贴安全标签；(2)盛装危险化学品的容器在未净化处理前，不得更换原安全标签。</t>
  </si>
  <si>
    <t>7.7 safety label</t>
  </si>
  <si>
    <t>根据《工作场所安全使用化学品规定》第14条。</t>
  </si>
  <si>
    <t>根据《工作场所安全使用化学品规定》第27条。</t>
  </si>
  <si>
    <t>危险化学品应当储存在专用仓库、专用场地或者专用储存室(以下统称专用仓库)内，并由专人负责管理；剧毒化学品以及储存数量构成重大危险源的其他危险化学品，应当在专用仓库内单独存放，并实行双人收发、双人保管制度。
危险化学品的储存方式、方法以及储存数量应当符合国家标准或者国家有关规定。</t>
  </si>
  <si>
    <t>根据《危险化学品安全管理条例》第24条。</t>
  </si>
  <si>
    <t xml:space="preserve">The hazardous chemical warehouse was not managed by designated personnel in the factory.    </t>
  </si>
  <si>
    <t>7.7 危险化学品专仓</t>
  </si>
  <si>
    <t>生产、储存危险化学品的单位，应当根据其生产、储存的危险化学品的种类和危险特性，在作业场所设置相应的监测、监控、通风、防晒、调温、防火、灭火、防爆、泄压、防毒、中和、防潮、防雷、防静电、防腐、防泄漏以及防护围堤或者隔离操作等安全设施、设备，并按照国家标准、行业标准或者国家有关规定对安全设施、设备进行经常性维护、保养，保证安全设施、设备的正常使用。</t>
  </si>
  <si>
    <t>根据《危险化学品安全管理条例》第20条。</t>
  </si>
  <si>
    <t xml:space="preserve">7.7 anti-leakage </t>
  </si>
  <si>
    <t>Sample</t>
  </si>
  <si>
    <t>审核员发现缝制车间面积大约有1000平方米，但只有2个灭火器。</t>
  </si>
  <si>
    <t>It was noted that only 2 fire extinguishers were available in the sewing workshop, which occupied a total area of around 1000 square meters.</t>
  </si>
  <si>
    <t>7.14 灭火器不足</t>
  </si>
  <si>
    <t>计算单元的最小需配灭火级别应按下式计算: Q = K*S/U
Q: 计算单元的最小需配灭火级别 (A或B)
K: 修正系数 
S: 计算单元的保护面积 (m2)
U: A类或B类火灾场所单位灭火级别最大保护面积 (m2/A 或 m2/B)</t>
  </si>
  <si>
    <t>根据《建筑灭火器配置设计规范》7.3.1条。</t>
  </si>
  <si>
    <t xml:space="preserve">It was noted that the production building of factory was a Class C production building (storage); the construction volume was 10000 cube meters. However, no indoor fire hydrant was installed in the production building. </t>
  </si>
  <si>
    <t>工厂的生产楼是丙类厂房，建筑体积为10000立方米，但没有设置室内消火栓。</t>
  </si>
  <si>
    <t>Law Reference: Article 13 of the Construction Project Fire Safety Supervision and Management Regulation.</t>
  </si>
  <si>
    <t>7.11
消防验收</t>
  </si>
  <si>
    <t>Law Reference: Article 61 of Construction Law of the People's Republic of China.</t>
  </si>
  <si>
    <t>根据《中华人民共和国建筑法》第61条。</t>
  </si>
  <si>
    <t>依据《建设工程消防监督管理规定》第13条。</t>
  </si>
  <si>
    <t>7.11
竣工验收</t>
  </si>
  <si>
    <t>部分员工的人事档案没有保留。</t>
  </si>
  <si>
    <t>电工证</t>
  </si>
  <si>
    <t>防爆开关</t>
  </si>
  <si>
    <t>LoTo</t>
  </si>
  <si>
    <t>电箱畅通</t>
  </si>
  <si>
    <t>绝缘状态</t>
  </si>
  <si>
    <t>一般环境下，用电产品以及电气线路的周围应留有足够的安全通道和工作空间，且不应堆放易燃、易爆和腐蚀性物品。</t>
  </si>
  <si>
    <t>7.13
电箱畅通</t>
  </si>
  <si>
    <t>7.13 LOTO</t>
  </si>
  <si>
    <t>化学品仓库里面的电路开关不是防爆开关。</t>
  </si>
  <si>
    <t>根据《危险化学品安全管理条例》第20条.</t>
  </si>
  <si>
    <t>The circuit switches in the chemical warehouse are not explosion-proof switches.</t>
  </si>
  <si>
    <t>Law Reference: In accordance with Article 20 of Regulation for Safety of Hazardous Chemical.</t>
  </si>
  <si>
    <t>7.13防爆开关</t>
  </si>
  <si>
    <t>用电产品的电气线路须具有足够的绝缘强度、机械强度和导电能力并应定期检查。</t>
  </si>
  <si>
    <t>缝制车间内的电线裸露，没有足够的保护装置。</t>
  </si>
  <si>
    <t>Law Reference: Article 6.7 of the General Guide for Safety of Electric User</t>
  </si>
  <si>
    <t>7.13 绝缘状态</t>
  </si>
  <si>
    <t xml:space="preserve">Law Reference: Article 21 of the Management Regulation on Safety Training and Assessment for Special Operator. </t>
  </si>
  <si>
    <t>审核员发现工厂员工宿舍没有安装消防警铃。</t>
  </si>
  <si>
    <t>根据客户要求。</t>
  </si>
  <si>
    <t xml:space="preserve">Client's Standard: A Fire alarm shall be available and audible throughout all sections of the factory and should be used for fire and evacuation only. </t>
  </si>
  <si>
    <t>There was no fire alarm in the cutting workshop.</t>
  </si>
  <si>
    <t>7.14 Fire alarm</t>
  </si>
  <si>
    <t xml:space="preserve">Law Reference: Article 8.1.2 of the Code for design of building fire protection and prevention (GB50016-2006). </t>
  </si>
  <si>
    <t xml:space="preserve">Law Reference: Article 7.3.1 of Code for Design of Extinguisher Distribution in Buildings (GB50140-2005). </t>
  </si>
  <si>
    <t>下列建筑或场所应设置室内消火栓系统： 
1  建筑占地面积大于300m2的厂房和仓库；
4  建筑高度大于24m或体积大于10000m3的办公建筑、教学建筑和其他单、多层民用建筑；</t>
  </si>
  <si>
    <t>根据《建筑设计防火规范GB50061_2014》第8.2.1条。</t>
  </si>
  <si>
    <t xml:space="preserve">Client’s Standard: The Employer shall place at least one well-stocked first aid kit on every floor. </t>
  </si>
  <si>
    <t>The probation period set in the labor contracts with a term of XX year for XX sample employees was XX days (or XX months).</t>
  </si>
  <si>
    <t>10.1试用期</t>
  </si>
  <si>
    <t>根据《中华人民共和国食品安全法》第29条。</t>
  </si>
  <si>
    <t>Transportation</t>
  </si>
  <si>
    <t>7.22 Toilet paper</t>
  </si>
  <si>
    <t>7.22 privacy door</t>
  </si>
  <si>
    <t>Storage space</t>
  </si>
  <si>
    <t>抽检25名员工中的一名进厂时未满16周岁，为童工。具体信息如下：
员工姓名：张三
身份证号码：440441199707010516
部门：包装
出生日期：1997年7月1日
进厂日期：2012年7月21日
进厂时年龄：15岁</t>
  </si>
  <si>
    <t>It was noted that child labor was employed by the factory. 1 out of 25 sampled employees were 15 years old when he was hired by the factory. The detail information yielded following:
Child Labor name:
Personal ID Number:
Department:
Birth Date:
Hiring Date:
Age on hiring date:
Current age on audit date:</t>
  </si>
  <si>
    <t>8.1 Child labor</t>
  </si>
  <si>
    <t>根据《禁止使用童工规定》第4条。</t>
  </si>
  <si>
    <t>新增的酸洗工序没有环评更新。</t>
  </si>
  <si>
    <t>抽取20个员工在2018年3月、1月和2017年9月的考勤，发现他们月度加班时间为40-76小时，超出法律规定的36小时。</t>
  </si>
  <si>
    <t xml:space="preserve">Twenty employees were selected for checking their attendance records in March, January 2018 and September 2017, and found that their monthly overtime work was 40-76 hours, exceeding the 36 hours stipulated by law. </t>
  </si>
  <si>
    <t>6.2
OT Hours</t>
  </si>
  <si>
    <t>根据《中华人民共和国劳动法》第44条。</t>
  </si>
  <si>
    <t>有下列情形之一的，用人单位应当按照下列标准支付高于劳动者正常工作时间工资的工资报酬：(1) 安排劳动者延长工作时间的，支付不低于工资的150%的工资报酬；(2) 休息日安排劳动者工作又不能安排补休的，支付不低于工资的200%的工资报酬；(3) 法定休假日安排劳动者工作的，支付不低于工资的300%的工资报酬。</t>
  </si>
  <si>
    <t>The overtime premium was not right.</t>
  </si>
  <si>
    <t>6.2
OT Premium</t>
  </si>
  <si>
    <t xml:space="preserve">Law Reference: Article 44 of the Labor Law of the PRC. </t>
  </si>
  <si>
    <t>根据《中华人民共和国劳动法》第38条。</t>
  </si>
  <si>
    <t>用人单位应当保证劳动者每周至少休息一天。</t>
  </si>
  <si>
    <t>Law Reference: Article 38 of the Labor Law of the PRC</t>
  </si>
  <si>
    <t>加班费不足。</t>
  </si>
  <si>
    <t>6.4
周休一</t>
  </si>
  <si>
    <t xml:space="preserve">It was noted that 25 out of 25 sample population employees worked seven days consecutively without rest. </t>
  </si>
  <si>
    <t>6.4
7休一</t>
  </si>
  <si>
    <t>发现共有25名员工有连续工作7天的情况。</t>
  </si>
  <si>
    <t>PA6 summary</t>
  </si>
  <si>
    <t>6.2 
Finding</t>
  </si>
  <si>
    <t>It was noted that 25 out of 25 sample population employees did not have at least one day off a week. 
•	5 (selected from sewing department) out of 5 sample population employees did not have 1 day rest for 2 weeks in May 2008, which was not in compliance with the Law Reference;
•	5 (selected from packing department) out of 5 sample population employees did not have 1 day rest for 1 week in July 2008, which was not in</t>
  </si>
  <si>
    <t>审核员发现抽检员工没有每周休息一天。
•	5/5名员工(缝纫车间)在2008年5月有2个星期没有每周休息1天.</t>
  </si>
  <si>
    <t>insuance</t>
  </si>
  <si>
    <t>PA 5
Summary</t>
  </si>
  <si>
    <t>Pay day</t>
  </si>
  <si>
    <t>Paid on time</t>
  </si>
  <si>
    <t>Pay slip</t>
  </si>
  <si>
    <t>HW13废有机树脂类</t>
  </si>
  <si>
    <t>First aid kit was not set in the sewing workshop.</t>
  </si>
  <si>
    <t>Production worker</t>
  </si>
  <si>
    <t>The assembly workshop</t>
  </si>
  <si>
    <t>Translate</t>
  </si>
  <si>
    <t>工资支付台账项目不全。</t>
  </si>
  <si>
    <t>发放工资时，未提供工资条给每个员工。</t>
  </si>
  <si>
    <t>用人单位由于生产经营需要，经与工会和劳动者协商后可以延长工作时间，一般每日不得超过一小时；因特殊原因需要延长工作时间的，在保障劳动者身体健康的条件下延长工作时间每日不得超过三小时，但是每月不得超过三十六小时。</t>
  </si>
  <si>
    <t>5.2
工资条</t>
  </si>
  <si>
    <t>Payroll items</t>
  </si>
  <si>
    <t>根据《中华人民共和国劳动法》第50条。</t>
  </si>
  <si>
    <t>工资应当以货币形式按月支付给劳动者本人。不得克扣或者无故拖欠劳动者的工资。</t>
  </si>
  <si>
    <t>根据《中华人民共和国劳动法》第48条。</t>
  </si>
  <si>
    <t>国家实行最低工资保障制度。用人单位支付劳动者的工资不得低于当地最低工资标准。</t>
  </si>
  <si>
    <t>抽样员工工资低于当地最低工资标准。
5/5名员工(缝纫车间)在2008年5月的工资为每小时人民币3.12到3.56元，低于法律规定每小时5元的最低工资；</t>
  </si>
  <si>
    <t>5.1
Minimum wage</t>
  </si>
  <si>
    <t>It was noted that 25 out of 25 sample population employees were paid below the local minimum wage. 
15 (from washing department) out of 15 sample population employees were paid RMB 4.13 to RMB 4.98 per hour in September 2008, which was below the local minimum wage of RMB 5 per hour.</t>
  </si>
  <si>
    <t>Law Reference: Article 48 of the Labor Law of the PRC.</t>
  </si>
  <si>
    <t>5.2 
Delay payment</t>
  </si>
  <si>
    <t>根据《广东省工资支付条例》第13条。</t>
  </si>
  <si>
    <t>用人单位与劳动者依法终止或者解除劳动关系的，应当在终止或者解除劳动关系当日结清并一次性支付劳动者工资。</t>
  </si>
  <si>
    <t xml:space="preserve">Wages of last month for resigned / terminated employees were paid on the 30th day after they left the factory.  </t>
  </si>
  <si>
    <t>5.2 
离职工资发放</t>
  </si>
  <si>
    <t>Resigned pay</t>
  </si>
  <si>
    <t xml:space="preserve">Wages for August 2008 were issued to employees on October 15, 2008, which exceeded the 30th day after the due date of the payment period (i.e. there was a delay of about 15 days in wage payment each month).  </t>
  </si>
  <si>
    <t>It was noted that the legal required items {normal working hours/overtime working hours/ the signatures of employees} were not included into the payroll records.</t>
  </si>
  <si>
    <t xml:space="preserve">Law Reference: Article 50 of the Labor Law of the People’s Republic of China. </t>
  </si>
  <si>
    <t xml:space="preserve">Law Reference: Article 13 of Regulation of Guangdong Province on the Payment of Wages. </t>
  </si>
  <si>
    <t>离职人员的工资在下个月才发放，比法律要求的晚了30天。</t>
  </si>
  <si>
    <t>员工2008年8月的工资直到10月15日才发放，比法定的支付期限(10月1日前)推迟了15天。并且工厂每个月的工资都推迟了15天发放。</t>
  </si>
  <si>
    <t>双手开关</t>
  </si>
  <si>
    <t>7.2 
Finding</t>
  </si>
  <si>
    <t>Union</t>
  </si>
  <si>
    <t>Workers Repr</t>
  </si>
  <si>
    <t>workshop</t>
  </si>
  <si>
    <t>CBA</t>
  </si>
  <si>
    <t>Meeting minutes</t>
  </si>
  <si>
    <t>Free association policy</t>
  </si>
  <si>
    <t>PA4</t>
  </si>
  <si>
    <t>OHA</t>
  </si>
  <si>
    <t>OHC</t>
  </si>
  <si>
    <t>Risk assessment</t>
  </si>
  <si>
    <t>7.3
OHA</t>
  </si>
  <si>
    <t>根据《中华人民共和国职业病防治法》第35条。</t>
  </si>
  <si>
    <t>对从事接触职业病危害的作业的劳动者，用人单位应当按照国务院安全生产监督管理部门、卫生行政部门的规定组织上岗前、在岗期间和离岗时的职业健康检查，并将检查结果书面告知劳动者。</t>
  </si>
  <si>
    <t xml:space="preserve">Law Reference: Article 35 Law of the People’s Republic of China on the Prevention and Treatment of Occupational Diseases. </t>
  </si>
  <si>
    <t>7.3
OHC</t>
  </si>
  <si>
    <t>7.7
Summary</t>
  </si>
  <si>
    <t>7.20'</t>
  </si>
  <si>
    <t>Young worker</t>
  </si>
  <si>
    <t>post safe?</t>
  </si>
  <si>
    <t>no night shift?</t>
  </si>
  <si>
    <t>根据劳部发[1994]498号《未成年工特殊保护规定》第6条。</t>
  </si>
  <si>
    <t>用人单位应按下列要求对未成年工定期进行健康检查：(一)安排工作岗位之前；(二)工作满1年；(三)年满18周岁，距前一次的体检时间已超过半年。</t>
  </si>
  <si>
    <t>9.6 
Young worker health checkup</t>
  </si>
  <si>
    <t>9.6 
Young worker Registration</t>
  </si>
  <si>
    <t>未成年工体检费用由工人自己承担。</t>
  </si>
  <si>
    <t>根据劳部发[1994]498号《未成年工特殊保护规定》第10条。</t>
  </si>
  <si>
    <t>未成年工上岗前用人单位应对其进行有关的职业安全卫生教育、培训；未成年工体检和登记，由用人单位统一办理和承担费用。</t>
  </si>
  <si>
    <t xml:space="preserve">It was noted that juvenile employees in the factory had to bear the expense for regular physical examination. </t>
  </si>
  <si>
    <t>9.6 
Health checkup fee</t>
  </si>
  <si>
    <t>checkup free?</t>
  </si>
  <si>
    <t>OT</t>
  </si>
  <si>
    <t xml:space="preserve">It was noted that 3 juvenile worker were painting products in spry painting workshop. </t>
  </si>
  <si>
    <t>9.1
young worker post</t>
  </si>
  <si>
    <t>3名未成年工在喷漆车间从事喷漆工作。</t>
  </si>
  <si>
    <t>甘肃</t>
  </si>
  <si>
    <t>7.24三合一</t>
  </si>
  <si>
    <t>根据《中华人民共和国劳动法》第15条。</t>
  </si>
  <si>
    <t>禁止用人单位招用未满十六周岁的未成年人。</t>
  </si>
  <si>
    <t>Law Reference: PRC Labor Law article 15.</t>
  </si>
  <si>
    <t>依据《中华人民共和国劳动法》第六十四条。</t>
  </si>
  <si>
    <t>不得安排未成年工从事矿山井下、有毒有害、国家规定的第四级体力劳动强度的劳动和其它禁忌从事的劳动。</t>
  </si>
  <si>
    <t>依据《未成年工特殊保护规定 劳部发（1994）498号》第9条。</t>
  </si>
  <si>
    <t>对未成年工的使用和特殊保护实行登记制度。用人单位招收使用未成年工，除符合一般用工要求外，还须向所在地的县级以上劳动行政部门办理登记。</t>
  </si>
  <si>
    <t>Law Reference: Regulations for the Special Protection of Juvenile Employees (Document No. 498) article 6.</t>
  </si>
  <si>
    <t>Law Reference: PRC Labor Law article 64.</t>
  </si>
  <si>
    <t>Law Reference: Regulations for the Special Protection of Juvenile Employees (Document No. 498) article 10.</t>
  </si>
  <si>
    <t>8.2人事档案</t>
  </si>
  <si>
    <t>依据《中华人民共和国劳动合同法》第9条。</t>
  </si>
  <si>
    <t>用人单位招用劳动者，不得扣押劳动者的居民身份证和其他证件，不得要求劳动者提供担保或者以其他名义向劳动者收取财物。</t>
  </si>
  <si>
    <t>审核中发现员工的身份证由企业保存，在年底或辞职时才被退还。</t>
  </si>
  <si>
    <t>Law Reference: PRC Employment Contract Law article 9.</t>
  </si>
  <si>
    <t xml:space="preserve">Employees’ identification documents are withheld by the facility and are only returned to them at the end of the year/when they resign. </t>
  </si>
  <si>
    <t>11.1 forced labor</t>
  </si>
  <si>
    <t>依据《中华人民共和国劳动合同法》第31条。</t>
  </si>
  <si>
    <t>用人单位应当严格执行劳动定额标准，不得强迫或者变相强迫劳动者加班。用人单位安排加班的，应当按照国家有关规定向劳动者支付加班费。</t>
  </si>
  <si>
    <t>在企业的规定以及员工面谈中发现，如果员工拒绝加班将按照旷工处理并将被扣除3天的基本工资。另外，被访谈的员工声称尽管员工可以申请在加班时间请假，但管理层一直拒绝他们的申请。</t>
  </si>
  <si>
    <t>As per facility rules and employees’ interviews, if workers do not work overtime when requested, XXX days’ normal wages will be deducted from their salary. Moreover, interviewees claimed that although they can apply for leave on those days, management always refuses their applications.</t>
  </si>
  <si>
    <t>Forced OT
强迫加班</t>
  </si>
  <si>
    <t>Law Reference: PRC Employment Contract Law article 31.</t>
  </si>
  <si>
    <t>依据《劳动部办公厅关于劳动者解除劳动合同有关问题的复函 （劳办发 【1995】 324 号）》</t>
  </si>
  <si>
    <t xml:space="preserve"> 劳动者提前30日以书面形式通知用人单位，解除劳动合同，无需征得用人单位的同意。超过于30日，劳动者向用人单位提出办理解除劳动合同的手续，用人单位应予以办理。</t>
  </si>
  <si>
    <t>审核中发现企业在赶货期间不按照正常程序在员工提前30日通知的情况下给与办理解除劳动合同程序。员工离职将不能收到自上次工资支付之后的所有工资。</t>
  </si>
  <si>
    <t>Law Reference: Reply of the General Office of the Ministry of Labor Concerning Certain Questions Regarding the Termination of Employment Contracts by Employees (General Office of the Ministry of Labor Document No. 324 (1995))</t>
  </si>
  <si>
    <t xml:space="preserve">It was noted that if the facility is in a rush to deliver an order, it does not accept any resignation even if the employee presents a written notice 30 days ahead. If the worker leaves anyway, he/she will not receive any wages due. This case had happened twice during the last year. </t>
  </si>
  <si>
    <t>不批准离职</t>
  </si>
  <si>
    <t>依据《中华人民共和国劳动合同法》第37条。</t>
  </si>
  <si>
    <t>劳动者提前三十日以书面形式通知用人单位，可以解除劳动合同。劳动者在试用期内提前三日通知用人单位，可以解除劳动合同。</t>
  </si>
  <si>
    <t>审核中发现员工在XXX个月的试用期内不允许离职。员工离职将不能收到自上次工资支付之后的所有工资。</t>
  </si>
  <si>
    <t>PRC Employment Contract Law article 37.</t>
  </si>
  <si>
    <t>As per facility rules review, employees are not allowed to resign during the XXX months of the probationary period.  If they do, they will not receive any wages due.</t>
  </si>
  <si>
    <t>试用期无法离职</t>
  </si>
  <si>
    <t>依据《工资支付暂行规定》第6条。</t>
  </si>
  <si>
    <t>用人单位必须书面记录支付劳动者工资的数额、时间、领取者的姓名以及签字，并保存两年以上备查。用人单位在支付工资时应向劳动者提供一份其个人的工资清单。</t>
  </si>
  <si>
    <t>In accordance with the PRC Provisional Regulations for the Payment of Wages article 6.</t>
  </si>
  <si>
    <t>Mandatory items</t>
  </si>
  <si>
    <t>10.2 d
必备条款</t>
  </si>
  <si>
    <t>根据《用电安全导则》第6.7条：</t>
  </si>
  <si>
    <t>依据《机械安全 进入机器和工业设备的固定设施 第三部分：楼梯、阶梯和护栏》第7.1，7.2条。</t>
  </si>
  <si>
    <t>7.1水平护栏
7.1.1 有坠落风险或要通过的危险区域就应安装护栏（例如，进入位于屋顶上的排风机的通道）。
7.1.2 当可能坠落的高度超过500mm时，应安装护栏。 
7.1.4 扶手的最小高度应为1100mm。 
7.1.5 护栏至少应包括一根中间横杆或其它等效的防护。扶手和横杆以及横杆和踢脚板之间的自由空间不应超过500mm。 
7.2 楼梯和阶梯的护栏
7.2.1 楼梯至少包含一个扶手。宽度大于或等于1200mm的楼梯应有两个扶手，阶梯通常应有两个扶手。
7.2.2 只要楼梯的上升高度超过500mm就应安装护栏。当斜梁外侧有大于200mm的横向间隙时，为了提供保护，应在具有此间的楼梯侧面安装护栏。
7.2.3 楼梯上的扶手与梯段踏板前缘的垂直高度应在1000-1100mm之间，在梯段平台上的垂直高度最小为1000mm，扶手宜为直径25~50mm的圆形截面或便于用手抓握的等效截面。
7.2.5 楼梯的护栏应至少包括一根横杆或某一等效装置。扶手到横杆以及横杆到斜梁的净距不应超过500mm。</t>
  </si>
  <si>
    <t xml:space="preserve">Law Reference: Safety of machinery - Permanent means of access to machines and industrial plants - Part 3: Stairways, stepladders and guard-rails, Article 7.1 and 7.2. </t>
  </si>
  <si>
    <t>7.17 Handrail; railguard</t>
  </si>
  <si>
    <t>根据《中华人民共和国食品安全法》第45条。</t>
  </si>
  <si>
    <t>从事接触直接入口食品工作的食品生产经营人员应当每年进行健康检查，取得健康证明后方可上岗工作。</t>
  </si>
  <si>
    <t>Law Reference: PRC Law on food safety, Article 45.</t>
  </si>
  <si>
    <t xml:space="preserve">工厂在宿舍没有提供带锁的储物柜给员工用来存放私人物品。 </t>
  </si>
  <si>
    <t xml:space="preserve">依据《中华人民共和国安全生产法》第24条。 </t>
  </si>
  <si>
    <t xml:space="preserve">No qualification certificate for the principal in charge or persons for the management of work safety in the facility. During document review, auditor found that the facility could not provide the qualification certificate of the principal in charge and persons for the management of work safety for review. </t>
  </si>
  <si>
    <t xml:space="preserve">企业主要负责人或安全管理人员未取得资格证书。在文件审核时，企业无法提供该企业主要负责人或安全管理人员的资格证书供审阅。 </t>
  </si>
  <si>
    <t>7.5 mgmt certificate</t>
  </si>
  <si>
    <t>Safey Officer</t>
  </si>
  <si>
    <t>Law Reference: In accordance with the Law of the PRC on Work Safety Article 24.</t>
  </si>
  <si>
    <t>Health certificates</t>
  </si>
  <si>
    <t>7.13
电工证</t>
  </si>
  <si>
    <t>Audit ID</t>
  </si>
  <si>
    <t>Audit Type</t>
  </si>
  <si>
    <t>PA1</t>
  </si>
  <si>
    <t>从事特种作业的劳动者必须经过专门培训并取得特种作业资格。</t>
  </si>
  <si>
    <t>根据《建设项目环境保护管理条例(2017)》第十七条。</t>
  </si>
  <si>
    <t>编制环境影响报告书、环境影响报告表的建设项目竣工后，建设单位应当按照国务院环境保护行政主管部门规定的标准和程序，对配套建设的环境保护设施进行验收，编制验收报告。</t>
  </si>
  <si>
    <t>Law Reference: Regulations on the Administration of Construction Project Environmental Protection (2017) Article 17.</t>
  </si>
  <si>
    <t>根据根据劳部发[1995]309号《关于贯彻执行&lt;中华人民共和国劳动法&gt;若干问题的意见》第65条。</t>
  </si>
  <si>
    <t>工厂获得允许实行综合计算工时制度的批文，实行综合计算工时的周期是01/06/2019-31/05/2020。该批文显示，员工在该周期内的总工作时间不能超出2424小时。审核员抽取5名员工的样本，计算了他们在该周期内的总工作时间，5/5人在该周期内的总工时是2348小时；未超出批文限制。</t>
  </si>
  <si>
    <t>6.2 
综合计时</t>
  </si>
  <si>
    <t>The factory has been approved to implement the comprehensive working hour system. The period of comprehensive working hour system is list below: A: 01/01/2019-30/06/2019; B: 01/07/2019-31/12/2019; C: 01/01/2020-30/06/2020. According to the approval, employees can work no more than 1,216 hours in the three cycles. 5 samples were selected and calculated their total working hours in the above mentioned three cycles respectively. The results were as follows: the total working hours of 4 out of 5 employees in cycle A were 1229.5-1364.5; The total working hours of 5 out of 5 people in cycle B were 1293.5-1384; which had exceeded the approval limit.
&lt;br&gt; The total working hours of 5 out of 5 people in cycle C were 845-980; which did not exceed the approval limit.</t>
  </si>
  <si>
    <t>Law Reference: Article 65 of Opinions on Matters of Carrying out Labor Law of the People's Republic of China (LMI [1995] No. 309)</t>
  </si>
  <si>
    <t>5.2
工资表项目</t>
  </si>
  <si>
    <t>Law reference: PRC Provisional Regulations for the Payment of Wages article 6.</t>
  </si>
  <si>
    <t>in cash</t>
  </si>
  <si>
    <t>No pay slip was provided to workers when paying wages.</t>
  </si>
  <si>
    <t>The factory now recruits three young workers but does not provide them with regular health checks.</t>
  </si>
  <si>
    <t>工厂现在招聘了3名未成年工，但没有为他们提供定期的健康检查。</t>
  </si>
  <si>
    <t>工厂现在招聘了3名未成年工，但是没有到当地劳动部门进行登记备案。</t>
  </si>
  <si>
    <t>The factory hired three young workers, but had not registered them to the local labor department.</t>
  </si>
  <si>
    <t>Law Reference: Regulations for the Special Protection of Juvenile Employees (Document No.498) article 9.</t>
  </si>
  <si>
    <t>根据《机械安全急停设计原则》第4.1.1条。</t>
  </si>
  <si>
    <t>As per documents review, management interview and worker interviews, there was no grievance case in the past year. Workers can lodge complaints by means of suggestion box, telephone or face-to-face talking.</t>
  </si>
  <si>
    <t>Privacy info</t>
  </si>
  <si>
    <t>Disciplinary procedures and practices are not involved with the worker representatives. There is no documentary evidence of past disciplinary cases.</t>
  </si>
  <si>
    <t>惩戒程序和措施没有员工代表的参与，没有过往惩戒案例的书面记录。</t>
  </si>
  <si>
    <t>Discinplianyr procedure</t>
  </si>
  <si>
    <t>BSCI Policy &amp; Procedure</t>
  </si>
  <si>
    <t>The factory did not conduct due diligence on the painting suppliers in terms of social responsibility, nor did it communicate the BSCI code of conduct to the painting suppliers.</t>
  </si>
  <si>
    <t>工厂没有对喷涂供应商做社会责任方面的尽职调查，也没有将BSCI行为准则传达给喷涂供应商。</t>
  </si>
  <si>
    <t>工厂建立了合适的管理措施来确保及明确在供应链中不能存在行贿索贿，挪用盗用公款，贪腐，提供虚假资料，虚报等行为。在管理制度中明确了在哪些方面可能存在贪腐，挪用公款或者贿赂等行为以及相应的预防管理措施。</t>
  </si>
  <si>
    <t xml:space="preserve">The factory has set up appropriate measures to ensure and demonstrate no corruption, extortion, embezzlement, bribery, falsified information or misrepresentation in the supply chain. The factory identified the situations and activities where acts of corruption, extortion or bribery were most likely to occur in its context and policies/procedures against any act of corruption and takes active measures to prevent and remediate them. </t>
  </si>
  <si>
    <t>The factory had established personal privacy protection procedure, but it was not well implemented.
Those records that contain employees' personal information, such as personnel files, labor contracts, and payroll, were not stored in lockers. Anyone can have free access to these files, which could easily reveal employees' private information.</t>
  </si>
  <si>
    <t>工厂已经建立了个人隐私保护程序，但执行效果不好。例如，包含员工个人隐私信息的文件，例如人事档案、劳动合同、工资表，没有储存在可以上锁的柜子里面。任何人都可以随意接触到这些文件，很容易泄露员工的隐私信息。</t>
  </si>
  <si>
    <t>Retired workers</t>
  </si>
  <si>
    <t>The Material Safety Data Sheet (MSDS) for painting oil was not displayed in the printing workshop.</t>
  </si>
  <si>
    <t>清洗车间使用的清洁剂没有化学品安全技术说明书(MSDS)。</t>
  </si>
  <si>
    <t>Law Reference: PRC Fire Prevention Law article 28.</t>
  </si>
  <si>
    <t>喷漆车间一个消防栓被杂物部分堵塞；另有多处灭火器被生产物料部分堵塞，而且灭火器布满了灰尘，以至于压力表盘已经看不清楚。</t>
  </si>
  <si>
    <t>The fire hydrant in the paint spraying workshop was partially blocked by debris. A number of fire extinguishers were partially blocked by the production material, and the fire extinguishers were so dusty that the pressure gauge could not be seen clearly.</t>
  </si>
  <si>
    <t>依据《中华人民共和国消防法》第28条。</t>
  </si>
  <si>
    <t>任何单位、个人不得损坏、挪用或者擅自拆除、停用消防设施、器材，不得埋压、圈占、遮挡消火栓或者占用防火间距，不得占用、堵塞、封闭疏散通道、安全出口、消防车通道。人员密集场所的门窗不得设置影响逃生和灭火救援的障碍物。</t>
  </si>
  <si>
    <t xml:space="preserve">Power switches in sewing workshop was exposed without insulation protective device.   </t>
  </si>
  <si>
    <t>7.14 消防栓</t>
  </si>
  <si>
    <t>7.14消防器材/通道堵塞</t>
  </si>
  <si>
    <t>7.25储物柜</t>
  </si>
  <si>
    <t xml:space="preserve">The factory did not provide cabinet with lockers in dormitory for workers to keep their personal belongings. </t>
  </si>
  <si>
    <t>工厂没有办理环境影响评价文件。工厂需要根据污染程度的不同，办理环境影响评价登记，报告表或者报告书。</t>
  </si>
  <si>
    <t>对于符合条件的员工（连续工作10年或者连续签过3次合同），工厂没有与他们签订无固定期限的劳动合同。</t>
  </si>
  <si>
    <t>For those eligible workers who have worked for 10 consecutive years or have signed contracts for three consecutive times, the factory did not sign a non-fixed terms labor contract with those eligible workers.</t>
  </si>
  <si>
    <t>hourly</t>
  </si>
  <si>
    <t>冲压</t>
  </si>
  <si>
    <t>OHR</t>
  </si>
  <si>
    <t>工厂不能提供1个电工的特种作业操作证。</t>
  </si>
  <si>
    <t>The factory failed to provide the special operator certificate for 1 electrician.</t>
  </si>
  <si>
    <t>1名焊工工证没有进行年审并且已经过期。</t>
  </si>
  <si>
    <t xml:space="preserve">The factory could not provide the health certificates for 2 canteen staffs.  </t>
  </si>
  <si>
    <t>食堂里面2名厨工的健康证未被提供。</t>
  </si>
  <si>
    <t>厂区的洗手间厕格没有门，不能给与工人隐私。</t>
  </si>
  <si>
    <t>The stalls in the toilet of the workplace were not equipped with doors, with no way to give workers any privacy.</t>
  </si>
  <si>
    <t xml:space="preserve">The dormitory is connected to the raw material warehouse, which is not conducive to rapid evacuation in case of emergency. </t>
  </si>
  <si>
    <t>宿舍楼与原材料仓库连在了一起，这不利于紧急情况下的快速疏散。</t>
  </si>
  <si>
    <t>根据《建筑设计防火规范(GB50016—2014)》第3.3.5条，员工宿舍严禁设置在厂房内；第3.3.9条，员工宿舍严禁设置在仓库内。</t>
  </si>
  <si>
    <t>Law Reference: The Code for design of building fire protection and prevention (GB50016-2014)，Article 3.3.5, staff apartment shall not be set up in the workshop; and Article 3.3.9, staff apartment shall not be set up in a warehouse.</t>
  </si>
  <si>
    <t>无三合一</t>
  </si>
  <si>
    <t>BL consistency</t>
  </si>
  <si>
    <t>依据《中华人民共和国企业法人登记管理条例》第十七条。</t>
  </si>
  <si>
    <t>企业法人改变名称、住所、经营场所、法定代表人、经济性质、经营范围、经营方式、注册资金、经营期限，以及增设或者撤销分支机构，应当申请办理变更登记。</t>
  </si>
  <si>
    <t>13.2
 BL consistency</t>
  </si>
  <si>
    <t>Law Reference: Article 17 of Regulations of PRC for controlling the registration of enterprises as legal persons.</t>
  </si>
  <si>
    <t>营业执照注册地址与实际经营地址不符合，工厂没有及时更新营业执照。</t>
  </si>
  <si>
    <t>The registered address of the business license and the actual operation address do not meet, the factory did not timely update the business license.</t>
  </si>
  <si>
    <t>安全设备的设计、制造、安装、使用、检测、维修、改造和报废，应当符合国家标准或者行业标准。生产经营单位必须对安全设备进行经常性维护、保养，并定期检测，保证正常运转。维护、保养、检测应当作好记录，并由有关人员签字。
根据《生产设备安全卫生设计总则》第6.1.6条。以操作人员的操作位置所在平面为基准，凡高度在2m之内的所有传动带、转轴、传动链、联轴节、带轮、齿轮、飞轮、链轮、电锯等外露危险零部件及危险部位，都必须设置安全防护装置。</t>
  </si>
  <si>
    <t>厂方没有指定专人管理危险化学品仓库。</t>
  </si>
  <si>
    <t>No fire drills had been conducted since the establishment of the factory.</t>
  </si>
  <si>
    <t>依据《建筑设计防火规范》（GB50016-2014）第6.4.11条：
建筑内的疏散用门应符合下列规定：
1.民用建筑和厂房的疏散用门应采用向疏散方向开启的平开门，不应采用推拉门、卷帘门、吊门、转门和折叠门。除甲、乙类生产房间外，人数不超过60 人且每樘门的平均疏散人数不超过30 人的房间，其疏散门的开启方向不限；
2 仓库的疏散门应为向疏散方向开启的平开门，但丙、丁、戊类仓库首层靠墙的外侧可采用推拉门或卷帘门；
3 开向疏散楼梯或疏散楼梯间的门，当其完全开启时，不应减少楼梯平台的有效宽度；
4.人员密集场所平时需要控制人员随意出入的疏散用门和设置门禁系统的住宅、宿舍、公寓建筑的外门，应保证火灾时不需使用钥匙等任何工具即能从内部易于打开，并应在显著位置设置具有使用提示的标识。</t>
  </si>
  <si>
    <t>In accordance with the Code of Design on Building Fire Protection and Prevention (GB50016-2014) article 6.4.11.</t>
  </si>
  <si>
    <t>工厂1楼印刷车间（约150人，300m2）的一个逃生门的开口方向不是向疏散方向开启。</t>
  </si>
  <si>
    <t>1 out of 2 evacuation doors on the first floor of the printing department (around 150 XXX workers, XXX m2) opens inwards.</t>
  </si>
  <si>
    <t>Exits number</t>
  </si>
  <si>
    <t>Exit sign</t>
  </si>
  <si>
    <t>Emergency light</t>
  </si>
  <si>
    <t>依据《建筑设计防火规范GB50016-2014》第10.3.5条。</t>
  </si>
  <si>
    <t>公共建筑、建筑高度大于54m的住宅建筑、高层厂房（仓库）及甲、乙、丙类单、多层厂房应设置灯光疏散指示标志， 并应符合下列规定：
1 应设置在安全出口和人员密集场所的疏散门的正上方。
2.应设置在疏散走道及其转角处距地面高度1.0m以下的墙面或地面上。灯光疏散指示标志的间距不应大于20m；对于袋形走道，不应大于10m；在走道转角区，不应大于1.0m。</t>
  </si>
  <si>
    <t xml:space="preserve">In accordance with the Code of Design on Building Fire Protection and Prevention GB50016-2014 Article 10.3.5: </t>
  </si>
  <si>
    <t>安全出口标志缺失</t>
  </si>
  <si>
    <t>exit sign lacked</t>
  </si>
  <si>
    <t>7.15 Exit sign</t>
  </si>
  <si>
    <t>除建筑高度小于27m 的住宅建筑外，民用建筑、厂房和丙类仓库的下列部位应设置疏散照明：
1 封闭楼梯间、防烟楼梯间及其前室、消防电梯间的前室或合用前室、避难走道、避难层（间）；
2 观众厅、展览厅、多功能厅和建筑面积大于200m2 的营业厅、餐厅、演播室等人员密集的场所；
3 建筑面积大于100m2 的地下或半地下公共活动场所；
4 公共建筑内的疏散走道；
5 人员密集的厂房内的生产场所及疏散走道。</t>
  </si>
  <si>
    <t>依据《建筑设计防火规范》（GB50016-2014）第10.3.1条。</t>
  </si>
  <si>
    <t>企业没有在生产B楼的楼梯间安装应急照明灯。</t>
  </si>
  <si>
    <t>In accordance with Code of Design on Building Fire Protection and Prevention (GB50016-2014) article 10.3.1</t>
  </si>
  <si>
    <t xml:space="preserve">no emergency light was installed at the staircases of production building B. </t>
  </si>
  <si>
    <t>7.15 Emergency light</t>
  </si>
  <si>
    <t>7.15 door open direction</t>
  </si>
  <si>
    <t>Outward door</t>
  </si>
  <si>
    <t>Rolling door</t>
  </si>
  <si>
    <t xml:space="preserve"> with fixture</t>
  </si>
  <si>
    <t>No warning sign for electric shock was labelled on the power switch box in the workplace.</t>
  </si>
  <si>
    <t>厂内电源开关盒没有当心触电的警示标志。</t>
  </si>
  <si>
    <t>Law Reference: Article 2-7 of Warning Sign in the Guidelines for Safety Signs and Usage GB 2894-2008.</t>
  </si>
  <si>
    <t>7.9 Warning sign</t>
  </si>
  <si>
    <t>Warning sign</t>
  </si>
  <si>
    <t>Facebook item</t>
  </si>
  <si>
    <t>花名册项目不完整，缺少劳动合同期限。</t>
  </si>
  <si>
    <t>Supplier COC</t>
  </si>
  <si>
    <t>根据《民用建筑设计统一标准》GB 50352-2019第6.8.7条。</t>
  </si>
  <si>
    <t>楼梯应至少于一侧设扶手，梯段净宽达三股人流时应两侧设扶手，达四股人流时宜加设中间扶手。</t>
  </si>
  <si>
    <t>Law Reference: Article 6.8.7 of GB 50352-2019 Uniform Standards for Civil Building Design.</t>
  </si>
  <si>
    <t>办公室楼梯没有扶手。</t>
  </si>
  <si>
    <t>There is no handrail for the staircase in the office.</t>
  </si>
  <si>
    <t>7.1 Handrail</t>
  </si>
  <si>
    <t>楼梯扶手</t>
  </si>
  <si>
    <t>设备扶手</t>
  </si>
  <si>
    <t>10.3. OHR
 职业病提醒</t>
  </si>
  <si>
    <t>16:00-0:00</t>
  </si>
  <si>
    <t>Election Year</t>
  </si>
  <si>
    <t>在制定工作时间和班次时，没有咨询负责安全健康风险评估的负责人 。例如在安排喷涂车间的工作时间时，需要考虑喷涂车间的危害因素并分配必
要的休息时间。</t>
  </si>
  <si>
    <t>The people in charge of occupational health and safety risk assessments was not consulted when defining working hours and shifts; For
example, when arranging the working shift of coating workshop, the hazard factors of coating workshop should be considered and necessary rest
time should be allocated.</t>
  </si>
  <si>
    <t>The factory did not keep records of work-related injuries in the punching workshop and did not provide documented information on root cause
analysis, corrective and preventive actions for work-related injury cases.</t>
  </si>
  <si>
    <t>工厂没有保留冲压车间的工伤记录，并且未能提供针对工伤案例的根本原因分析，纠正和预防措施的相关文件化信息。</t>
  </si>
  <si>
    <t>Injury record</t>
  </si>
  <si>
    <t>The factory failed to provide some documented information as evidence for evaluation. For example, the factory paid wages through bank
transfer, but failed to provide the bank transfer record during the audit; And failing to provide bank transfers records for social insurance
purchases.</t>
  </si>
  <si>
    <t>工厂未能提供一些文件化信息来作为评价的证据。例如工厂通过银行转账形式发放工资，但在审核时未能提供银行转账记录；以及未能提供购买社会保险的银行转账记录。</t>
  </si>
  <si>
    <t>13.2
Documented information</t>
  </si>
  <si>
    <t>Documented</t>
  </si>
  <si>
    <t>The roster items are incomplete and lack the term of the labor contract period.</t>
  </si>
  <si>
    <t>Commitment</t>
  </si>
  <si>
    <t>Moreover, the management lacked commitment to integrate the BSCI Code of Conduct into the factory's business.</t>
  </si>
  <si>
    <t>另外，管理层缺少将BSCI行为准则融入工厂的业务过程的承诺。</t>
  </si>
  <si>
    <t>BA</t>
  </si>
  <si>
    <t>HW49废活性炭</t>
  </si>
  <si>
    <t>HW09废乳化液</t>
  </si>
  <si>
    <t>The factory did not work out the environmental impact assessment. According to the degree of pollution, the factory needed to go through the environmental impact assessment registration, report form or report.</t>
  </si>
  <si>
    <t>The width of the 1 out of 2 exit doors in the 2nd floor and the third floor of the production building was 85 centimeters, less than the law
requirement of at least 0.9 meters.</t>
  </si>
  <si>
    <t>生产楼2楼和3楼1/2个出口的门的宽 度是85厘米，小于法律要求的至少0.9米。</t>
  </si>
  <si>
    <t>依据《建筑设计防火规范》（GB50016-2014）第3.7.5条。</t>
  </si>
  <si>
    <t>7.15
疏散宽度</t>
  </si>
  <si>
    <t>厂房内的疏散楼梯、走道、门的各自总净宽度应根据疏散人数每100人的最小疏散净宽度不小于表3.7.5的规定经计算确定。但疏散楼梯的最小净宽度不宜小于1.1m，疏散走道的最小净宽度不宜小于1.4m，门的最小净宽度不宜小于0.9m。当每层人数不相等时，疏散楼梯的总净宽度应分层计算，下层楼梯总净宽度应按该层及以上疏散人数最多一层的疏散人数计算。首层外门的总净宽度应按该层及以上疏散人数最多一层的疏散人数计算，且该门的最小净宽度不应小于1.2m。</t>
  </si>
  <si>
    <t>Law Reference: Code of Design on Building Fire Protection and Prevention (GB50016-2014) article 3.7.5.</t>
  </si>
  <si>
    <t>工厂没有识别热转印过程的危险源，并进行相应的风险评估，以便采取措施去消除或者减轻职业危害。</t>
  </si>
  <si>
    <t>The factory did not identify the hazards in the Thermal transfer printing process and carried out corresponding risk assessment so as to take measures to eliminate or mitigate occupational hazards.</t>
  </si>
  <si>
    <t>Hazard Identify</t>
  </si>
  <si>
    <t>Dispatch workers</t>
  </si>
  <si>
    <t>Temparary w</t>
  </si>
  <si>
    <t>Annual Leave</t>
  </si>
  <si>
    <t>依据《职工带薪年休假条例》第3条。</t>
  </si>
  <si>
    <t>职工累计工作已满1年不满10年的，年休假5天；已满10年不满20年的，年休假10天；已满20年的，年休假15天。国家法定休假日、休息日不计入年休假的假期。</t>
  </si>
  <si>
    <t>Law Reference: Regulations on Employee’s Paid Annual Leave article 3.</t>
  </si>
  <si>
    <t>没有带薪年假政策。</t>
  </si>
  <si>
    <t xml:space="preserve">It was noted that facility has not implemented the related annual leave policy and/or keeps no records of annual leave. </t>
  </si>
  <si>
    <t>标签，内外盖</t>
  </si>
  <si>
    <t xml:space="preserve"> was appointed to coordinate the implementation of the social responsibility management system, and the relevant responsibilities and authority were distributed and communicated within the organization.</t>
  </si>
  <si>
    <t>根据《中华人民共和国劳动合同法实施条例》第8条。</t>
  </si>
  <si>
    <t>Law Reference: Regulations of the People's Republic of China on the Implementation of the Labor Contract Law, Article 8.</t>
  </si>
  <si>
    <t>货物靠墙</t>
  </si>
  <si>
    <t>PA2</t>
  </si>
  <si>
    <t>2.1 follow up on workers’ requests or complaints</t>
  </si>
  <si>
    <t>2.2 long-term goals</t>
  </si>
  <si>
    <t>The employee representative gave feedback to the management in December 2019 about the lack of personal protective equipment in workplace, but the factory had not made correction on the issue until now, such as not providing steel toed protective shoes to the workers operating the moulds.</t>
  </si>
  <si>
    <t>员工代表在2019年12月向管理层提出车间缺少劳保用品，但是直到现在工厂仍没有解决此问题，例如没有提供钢头防护鞋给操作模具的工人。</t>
  </si>
  <si>
    <t>工厂的管理层例如高级经理、人事部门负责人和安全负责人，在招聘，工时统计这些领域缺少内外部的培训。</t>
  </si>
  <si>
    <t>Factory management, such as senior managers, HR heads and EHS supervisor, lacks internal and external training at recruitment and working hour statistics.</t>
  </si>
  <si>
    <t>2.4Specific training for HR, OHS, grievance mechanism personnel</t>
  </si>
  <si>
    <t>Feedback on the amfori BSCI audit results and follow up</t>
  </si>
  <si>
    <t>工厂的管理层例如高级经理、人事部门负责人和安全负责人，对上次审核报告提出的问题点不了解，没有跟进改善。</t>
  </si>
  <si>
    <t>The factory management staff, such as senior manager, personnel department head and EHS supervisor did not understand the issues raised in the last audit report, therefore, follow up action and improvement were not taken.</t>
  </si>
  <si>
    <t>意见箱跟打卡机放在一起，且位于大门出入口，这不是一个保密的申诉渠道。</t>
  </si>
  <si>
    <t>The suggestion box was placed alongside the time recording machine and was located at the main entrance, which was not a confidential complaint channel.</t>
  </si>
  <si>
    <t>2.5Grievance</t>
  </si>
  <si>
    <t>Follow up audit PAs</t>
  </si>
  <si>
    <t>https://www.tianyancha.com/</t>
  </si>
  <si>
    <t>Pre-Audit Do's</t>
  </si>
  <si>
    <t xml:space="preserve">Main Production Process: </t>
  </si>
  <si>
    <t>exports % :</t>
  </si>
  <si>
    <t>domestic % :</t>
  </si>
  <si>
    <t xml:space="preserve">Production volume: </t>
  </si>
  <si>
    <t xml:space="preserve">Production buildings: </t>
  </si>
  <si>
    <t xml:space="preserve">Dormitory: </t>
  </si>
  <si>
    <t xml:space="preserve">Canteen: </t>
  </si>
  <si>
    <t>Compound shared?</t>
  </si>
  <si>
    <t xml:space="preserve">Email: </t>
  </si>
  <si>
    <t xml:space="preserve">Mgmt. Representative: </t>
  </si>
  <si>
    <t>Contact/Title</t>
  </si>
  <si>
    <t>Total workers/Production</t>
  </si>
  <si>
    <t>Minimum Wage:</t>
  </si>
  <si>
    <t xml:space="preserve">Amfori ID: </t>
  </si>
  <si>
    <t>Year/Legal status</t>
  </si>
  <si>
    <t>effective date</t>
  </si>
  <si>
    <t>wage</t>
  </si>
  <si>
    <t>BLW:</t>
  </si>
  <si>
    <t>管理者代表</t>
  </si>
  <si>
    <t>*人数这里一定要填写，不然uniform PA5会报错</t>
  </si>
  <si>
    <t>Security guards</t>
  </si>
  <si>
    <t>Canteen staff</t>
  </si>
  <si>
    <t>Management/General admin</t>
  </si>
  <si>
    <t>Non-production: (Finances, Sales, etc.)</t>
  </si>
  <si>
    <t>*统一信用代码</t>
  </si>
  <si>
    <t>The goods in the finished product warehouse were stacked against the wall without a clearance of at least 0.5m.</t>
  </si>
  <si>
    <t>成品仓库货物靠墙堆放，没有留出至少0.5米的间隙。</t>
  </si>
  <si>
    <t>The dewaxing water used in the cleaning workshop was not attached with a safety label.</t>
  </si>
  <si>
    <t>清洗车间内使用的除蜡水没有张贴安全标签。</t>
  </si>
  <si>
    <t>The factory has a cargo lift, but no one has obtained the special equipment management certificate.</t>
  </si>
  <si>
    <t>工厂有一台货梯，但没有人取得特种设备管理资格证。</t>
  </si>
  <si>
    <t>The factory failed to provide the safety inspection report of a cargo lift.</t>
  </si>
  <si>
    <t>工厂未能提供一台货梯的安全检验报告。</t>
  </si>
  <si>
    <t xml:space="preserve"> Law Reference: PRC Labor Law article 55.</t>
  </si>
  <si>
    <t xml:space="preserve"> Law Reference: Safety code of electric power industry-Part1: Thermal and machine Article 3.5.5. </t>
  </si>
  <si>
    <t xml:space="preserve"> 依据《中华人民共和国劳动法》第55条。</t>
  </si>
  <si>
    <t xml:space="preserve"> 根据《电业安全工作规程第1部分：热力和机械》第3.5.5条。 </t>
  </si>
  <si>
    <t xml:space="preserve"> Law Reference: Safety requirements for applications of electrical equipment - part 2: safety measures for operation in the absence of power, Article 5.5.3.</t>
  </si>
  <si>
    <t xml:space="preserve"> 根据《电气设备应用场所的安全要求--第2部分：在断电状态下操作的安全措施》5.5.3.</t>
  </si>
  <si>
    <t>d</t>
  </si>
  <si>
    <t>03/2021</t>
  </si>
  <si>
    <t>Fingerprint machine</t>
  </si>
  <si>
    <t>earplug</t>
  </si>
  <si>
    <t>Bottled water</t>
  </si>
  <si>
    <t>裱装车间使用的化学品例如胶水，没有被设置防渗漏设施（例如二次容器）</t>
  </si>
  <si>
    <t>Chemicals used in the laminating workshop, such as glue, were not equipped with anti-leakage facilities (such as secondary containers).</t>
  </si>
  <si>
    <t>cargo lift</t>
  </si>
  <si>
    <t>地址：</t>
  </si>
  <si>
    <t>The escalator for adding materials in the injection molding workshop had no handrails and guardrails.</t>
  </si>
  <si>
    <t>注塑车间添加物料的扶梯没有扶手和护栏。</t>
  </si>
  <si>
    <t>工厂BLW</t>
  </si>
  <si>
    <t>punching</t>
  </si>
  <si>
    <t>抛光车间产生粉尘，工人只佩戴普通的是一次性口罩，而不是防尘口罩。冲压车间产生噪音，工厂已经提供耳塞，但是有30%的工人没有佩戴耳塞。</t>
  </si>
  <si>
    <t>The polishing workshop produces dust, and the workers only wear ordinary disposable masks instead of dust proofed masks. Noise was produced in the punching workshop and the factory had provided earplugs, but 30% of workers did not wear earplugs.</t>
  </si>
  <si>
    <t>工厂根据法律要求以及BSCI的要求建立了健康安全规定和守则，建立了职业健康安全委员会，有专门的管理层代表负责健康安全事宜。工人接受了健康安全的培训。</t>
  </si>
  <si>
    <t xml:space="preserve">The factory had established health &amp; safety management procedures and occupational health &amp; safety committee according to legal requirements and BSCI Code of Conduct, with designated management representatives responsible for health and safety matters. Workers received regular health and safety training. </t>
  </si>
  <si>
    <t>The factory failed to provide the special operator certificate for 3 out of 4 electricians.</t>
  </si>
  <si>
    <t>工厂不能提供3/4个电工的特种作业操作证。</t>
  </si>
  <si>
    <t xml:space="preserve">There was no corresponding functional label for the power switch in workplace;  Electric boxes in workplace were not installed with inner cover. </t>
  </si>
  <si>
    <t>首先，工厂所有看到的电源开关没有标识控制功能；其次，所有看到的电控箱没有安装绝缘内盖，有3处电箱和2处开关盒没有外盖。</t>
  </si>
  <si>
    <t>The electrical box was blocked.</t>
  </si>
  <si>
    <t>The factory did not develop, implement and enforce an energy control program. For example, electrical appliance circuit breaks could not lock out or tag out when performing maintenance.</t>
  </si>
  <si>
    <t>工厂没有制定、执行并强制一个能量控制程序，例如电气设备在维修时没有对电源锁定、挂牌。</t>
  </si>
  <si>
    <t>Law Reference: Article 14 of the Regulation for Chemical Usage Safety in Workplace.</t>
  </si>
  <si>
    <t>The canteen staff did not wear clean uniform or headwear when producing food.</t>
  </si>
  <si>
    <t>Law reference: Article 27 of the Law of the PRC on the Food Safety.</t>
  </si>
  <si>
    <t>厨工在制作食物过程中没有穿戴清洁的工作服和帽子。</t>
  </si>
  <si>
    <t>根据《中华人民共和国食品安全法》第27条。</t>
  </si>
  <si>
    <t>Law Reference: Rules Concerning Warehouse Safety and Fire Control article 18.</t>
  </si>
  <si>
    <t>Law Reference: Article 24 of the Regulations on the Safety Administration of Hazardous Chemicals.</t>
  </si>
  <si>
    <t>Law Reference: Article 20 of the Regulations on the Safety Administration of Hazardous Chemicals.</t>
  </si>
  <si>
    <t xml:space="preserve">The factory had signed an entrustment contract to hand over the hazardous waste generated in the production process to a qualified third-party company for treatment, but the hazardous waste transfer document could not be provided at present.
</t>
  </si>
  <si>
    <t>工厂签署了委托合同，将生产过程中产生的危险废弃物交给有资质的第三方公司处理，但是目前不能提供危险废物转移单据。</t>
  </si>
  <si>
    <t>valid to</t>
  </si>
  <si>
    <t>7.5
特种作业操作证</t>
  </si>
  <si>
    <t>7.5
特种作业操作证
复审</t>
  </si>
  <si>
    <t>根据《中华人民共和国安全生产法》第45条。</t>
  </si>
  <si>
    <t>Law Reference: Article 45 of Law of the People’s Republic of China on Production Safety.</t>
  </si>
  <si>
    <t>依据《中华人民共和国安全生产法》第36条。</t>
  </si>
  <si>
    <t>Law Reference: Law of the PRC on Work Safety article 36.</t>
  </si>
  <si>
    <t>根据《中华人民共和国安全生产法》第30条。</t>
  </si>
  <si>
    <t>工厂没有根据BSCI行为准则去定义长期的目标去保护员工, 比如提高社保参保率。</t>
  </si>
  <si>
    <t>On-Site</t>
  </si>
  <si>
    <t>厂名:</t>
  </si>
  <si>
    <t>Full Address:</t>
  </si>
  <si>
    <t>根据《用电安全导则》第6.5条。</t>
  </si>
  <si>
    <t>Law Reference: Article 6.5 of the General Guide for Safety of Electric User.</t>
  </si>
  <si>
    <t>缝制车间的电箱旁边对方了大量的易燃原材料，没有留出充足的工作空间。</t>
  </si>
  <si>
    <t>尽管工厂目前没有使用未成年工，但对于未成年工的保护仍有充分的认知，且制定了一系列的未成年工保护规定，比如：不得安排未成年工从事有毒有害的工作，不得安排未成年工上晚班，需要给未成年工提供有效的申诉渠道，需要给未成年工提供有关健康安全的培训，等等。
备注：工厂没有雇用未成年工，因此9.2-9.6问题被评为“不适用”。</t>
  </si>
  <si>
    <t>Although the factory did not use young workers at present, it still had sufficient awareness of the protection of young workers, and had formulated a series of regulations on the protection of young workers, such as not arranging young workers to engage in toxic and harmful activities, not arranging young workers to night work, providing effective appeal channels for young workers, providing young workers with health and safety training, etc.
Remark: Question 9.2 to 9.6 are rated as N/A, due to no young workers are employed in this factory.</t>
  </si>
  <si>
    <t>根据《仓库防火安全管理规划》第18条。</t>
  </si>
  <si>
    <t>工厂没有保留离职员工的劳动合同。</t>
  </si>
  <si>
    <t>The labor contract of the resigned workers was not retained.</t>
  </si>
  <si>
    <t>生产区厕所内没有放纸巾和洗手液。</t>
  </si>
  <si>
    <t>There was no toilet paper and hand sanitizer in the toilets at workplace.</t>
  </si>
  <si>
    <t>Name of worker/union representative(name/title/year)
员工代表 名字/职务/选举年份</t>
  </si>
  <si>
    <t>Based on satisfactory evidence, the factory respects this principle.</t>
  </si>
  <si>
    <t>基于令人满意的证据，工厂尊重本条原则。</t>
  </si>
  <si>
    <t>Overview of accident management:</t>
  </si>
  <si>
    <t>Description of accidents that occured up to 6 months prior to the audit, if any:</t>
  </si>
  <si>
    <t>Description of a highly risky production technique that could affect workers' health (e.g. sandblasting), if any:</t>
  </si>
  <si>
    <t>The factory had developed accident management procedure, risk assessment and prevention measurement were conducted to prevent potential accident or injury case. There was no accident case in the past one year.</t>
  </si>
  <si>
    <t>工厂没有建立、执行、维持一个良好的个人隐私信息保护程序，例如对包含员工个人隐私信息的人事档案、劳动合同、工资表等要妥善保存。</t>
  </si>
  <si>
    <t>The factory did not establish, implement and maintain a good personal privacy information protection procedure, for example, personnel files, labor contracts and payroll containing employees' personal privacy information should be properly kept.</t>
  </si>
  <si>
    <t>车间内张贴的个人防护用品指令标志不规范。指令标志是强制人们必须做出某种动作或采用防范措施的图形标志。指令标志的几何图形是圆形，蓝色背景，白色图形符号。</t>
  </si>
  <si>
    <t xml:space="preserve">根据《安全标志及使用导则(GB 2894-2008)》警示标志2-7. </t>
  </si>
  <si>
    <t>The direction signs of personal protective equipment posted in the workshop are not standard. Direction sign is a graphic sign that forces people to make certain actions or take preventive measures. The geometric figure of the instruction sign is a circle with a blue background and a white graphic symbol.</t>
  </si>
  <si>
    <t xml:space="preserve">Per document review, management interview and employees’ private interview, it was noted that the factory had established communication structure and procedures to genuinely involve workers and their representatives. Meeting records showed that management exchanges information on workplace-related issues with workers and their representatives regularly. According to interviewees, provided procedures and records, workers' representatives were elected by workers without any interference from factory management. Workers’ representatives were allowed to carry out their duties within working hours without losing pay or other negative repercussions. Grievance mechanism procedure had been established. Workers and communities can lodge grievances through such a mechanism. </t>
  </si>
  <si>
    <t>根据《工作场所职业卫生管理规定》第20条。</t>
  </si>
  <si>
    <t>职业病危害严重的用人单位，应当委托具有相应资质的职业卫生技术服务机构，每年至少进行一次职业病危害因素检测，每三年至少进行一次职业病危害现状评价。职业病危害一般的用人单位，应当委托具有相应资质的职业卫生技术服务机构，每三年至少进行一次职业病危害因素检测。</t>
  </si>
  <si>
    <t>Law Reference: Article 20 of the Regulations on occupational Health administration in the Workplace.</t>
  </si>
  <si>
    <t>部分车缝机外露的皮带缺少保护罩。冲压车间的冲压机械采用的脚踏开关上没有安装保护盖，有引发误触碰开关的风险。</t>
  </si>
  <si>
    <t>The exposed belt of part sewing machine lacks protective cover. There is no protective cover on the foot switch used by the stamping machinery in the stamping workshop, which may cause the risk of touching the switch by mistake.</t>
  </si>
  <si>
    <t>根据《危险废物转移管理办法》第六条。</t>
  </si>
  <si>
    <t>转移危险废物的，应当执行危险废物转移联单制度，法律法规另有规定的除外。危险废物转移联单的格式和内容由生态环境部另行制定。</t>
  </si>
  <si>
    <t>Law Reference: Article 6 of the measures for the administration of hazardous waste transfer.</t>
  </si>
  <si>
    <t>现场观察发现，有1名工人使用厕所的洗手台清洗印刷网版，导致含油废水流入到生活污水管道。</t>
  </si>
  <si>
    <t>根据中华人民共和国水污染防治法》第33条。</t>
  </si>
  <si>
    <t>the on-site observation found that one worker used the washstand of the toilet to clean the printing screen, resulting in oily wastewater flowing into the domestic sewage pipeline.</t>
  </si>
  <si>
    <t>Law Reference: Article 33 of the law of the people's Republic of China on the prevention and control of water pollution.</t>
  </si>
  <si>
    <t>工厂未能提供环境保护设施竣工验收报告。</t>
  </si>
  <si>
    <t>The factory failed to provide the completion acceptance report of environmental protection facilities.</t>
  </si>
  <si>
    <t>Column1</t>
  </si>
  <si>
    <t>Column2</t>
  </si>
  <si>
    <t>Column3</t>
  </si>
  <si>
    <t>Column4</t>
  </si>
  <si>
    <t>Column5</t>
  </si>
  <si>
    <t>Column6</t>
  </si>
  <si>
    <t>Column7</t>
  </si>
  <si>
    <t>Column8</t>
  </si>
  <si>
    <t>Column9</t>
  </si>
  <si>
    <t>Column10</t>
  </si>
  <si>
    <t>Column11</t>
  </si>
  <si>
    <t>The factory's record keeping system needs to be improved. According to the management interview, the factory had been inspected by the local safety supervision department within the past year, but the factory did not keep relevant inspection records.</t>
  </si>
  <si>
    <t>工厂的记录保存制度有待改进。根据管理层访谈，工厂在过去一年内接受过当地安全监督部门的检查，但是工厂没有保留相关的检查记录。</t>
  </si>
  <si>
    <t>"C:\Users\wingxu\autoTools\China - Minimum wage.xlsx"</t>
  </si>
  <si>
    <t>10/2022</t>
  </si>
  <si>
    <t>11/2021</t>
  </si>
  <si>
    <t>The injection molding department</t>
  </si>
  <si>
    <t>注塑和油边</t>
  </si>
  <si>
    <t>injection molding and edge painting</t>
  </si>
  <si>
    <t>噪音，粉尘和化学品</t>
  </si>
  <si>
    <t>Report</t>
  </si>
  <si>
    <t>根据《安全标志及其使用导则》GB2894-2008 4.2条。</t>
  </si>
  <si>
    <t>According to Article 4.2 of Safety Signs and Guidelines for Use GB2894-2008.</t>
  </si>
  <si>
    <t>公司在其政策和程序中明确规定，他们不会在招聘和雇佣实践中基于年龄、种族、种姓、宗教、性别、残疾、国籍、性取向、社会阶层、工会成员、政治观点或婚姻状况身份歧视任何工人，例如申请就业、晋升、奖励、培训、工作分配、工资、福利、纪律和解雇。加班工作公平分配给所有工人，在加班机会上没有歧视。工厂通过入职培训、员工手册和布告栏向所有员工传达反歧视政策。</t>
  </si>
  <si>
    <t xml:space="preserve">The factory explicitly includes in their policies and procedures that they would not discriminate against any worker based on age, race, caste, religion, gender, disability, national origin, sexual orientation, social class, union membership, political opinion or marital status identity in hiring and employment practices such as applications for employment, promotions, rewards, access to training, job assignments, wages, benefits, discipline, and termination. The overtime work was fairly distributed to all workers, there was no discrimination on the overtime work opportunity. The factory communicated anti-discrimination policy to all employees through orientation training, employee handbook and notice board. </t>
  </si>
  <si>
    <t>limited company</t>
  </si>
  <si>
    <t xml:space="preserve">Law Reference: Article 30 of Production Safety Law of the People’s Republic of China. </t>
  </si>
  <si>
    <t xml:space="preserve">The factory had established, implemented and maintained its social responsibility policies and procedures in accordance with the BSCI Code of Conduct, and was committed to continuously improve its social responsibility performance in the areas of labor rights, occupational health &amp; safety and environmental protection. One Management Representative, </t>
  </si>
  <si>
    <t>通过文件查阅、管理层访谈和员工访谈，审核发现工厂建立了沟通渠道和程序来切实确保员工及员工代表的参与。会议记录显示管理人员与员工代表定期就工作场所相关事项进行一次沟通。根据员工访谈，管理程序文件及记录显示，员工代表由员工自由选举而不受管理层干涉。员工代表可以在工作时间行使其职责而不会被克扣工资或者受到任何负面影响。工厂建立了申诉机制，员工和周边社区可以通过该机制表达诉求。</t>
  </si>
  <si>
    <t>The factory did not define long-term goals to protect employees according to BSCI code of conduct, such as improving the social insurance coverage rate.</t>
  </si>
  <si>
    <t xml:space="preserve">工厂制定了反强迫劳动的政策，管理代表理解哪些方式是属于强迫劳动的范畴。通过查看工厂的规章制度以及员工访谈发现，员工都是自主选择在工厂工作，没有交付押金或者个人证件的原件。工厂制定了一项政策，以尽量减少、消除或报销招聘费用和相关费用。这家工厂没有招聘顾问或招聘中介。员工在工厂内的行动自由，喝水或使用洗手间或在下班后自由活动都不受限制。加班也是基于员工自愿。员工可以自由辞职而不会被克扣工资。审核中未发现有侮辱或非人道的待遇的现象。惩戒政策包括口头警告，警告信，终止合同，这是符合法规的。 </t>
  </si>
  <si>
    <t xml:space="preserve">The factory had established the policy on anti-forced labour. Management representatives understood the scope of forced labour. As per factory regulations and worker interviews, it was confirmed that workers were hired freely without monetary deposit or original personal documents withheld. The factory has developed a policy to minimize, eliminate or reimburse the recruitment fees &amp; related costs. No recruitment consultancy or recruitment agency was involved in this factory. There was no restriction on workers' movement, and workers could access to drinking water or toilet facilities as they desired and left the factory freely when they were off duty. Overtime hours were arranged on workers' voluntary basis. All workers could resign freely without being deducted from wages. No inhumane or degrading treatment was found during the audit. The discipline policy included verbal warning, written warning letter and termination, which was in line with legal requirement. </t>
  </si>
  <si>
    <t>The punching machine uses a pedal switch, which exposes the worker's hands to the downstream punching component. Since punching work involves long periods of time, high frequency, and repetitive tasks, the pedal switch poses a potential risk of work injury. However, the factory did not install safety measures, such as two-hand control switches or infrared control switches, on the punching machine.</t>
  </si>
  <si>
    <t>冲压机采用脚踏开关，在工作时工人的双手会暴露在冲头的下行区域，并且冲压作业属于长时间、高频率、重复性的工作，脚踏开关存在引发工伤的潜在风险。但是工厂未对冲压机安装安全防护措施，例如双手控制开关或者红外控制开关。</t>
  </si>
  <si>
    <t>不提供宿舍，餐厅，厨房和交通巴士。</t>
  </si>
  <si>
    <t>Dormitory, canteen, kitchen, and transit bus were not provided in this factory.</t>
  </si>
  <si>
    <t>基于令人满意的证据，工厂部分尊重本条原则。</t>
  </si>
  <si>
    <t>Based on satisfactory evidence, the factory partially respects this principle.</t>
  </si>
  <si>
    <t>Based on personnel interview, site observation, and document review, it was noted that the factory had conducted capacity assessment, but the capacity assessment did not consider the legal compliance of working hours, resulting in monthly overtime exceeding the legal limit. For details, please refer to 6.2.  
This is not in compliance with the requirements of article 41 of the Labor Law of the PRC. The question is rated as “No” because the factory failed to effectively control the overtime of workers to meet the legal requirements when completing the order.</t>
  </si>
  <si>
    <t>根据人员访谈，现场观察和文件审阅，发现工厂进行了产能评估，但产能评估没有考虑工作时间的法律符合性，导致月加班超出法律限制，详情请参考6.2。这不符合《中华人民共和国劳动法》第四十一条的要求。该问题被评为“不符合”，因为工厂在完成订单时未能有效控制工人的加班以满足法律要求。</t>
  </si>
  <si>
    <t>Tel:</t>
  </si>
  <si>
    <t>广东</t>
  </si>
  <si>
    <t>The factory had established written policy that supported workers' rights of freedom of association and collective bargaining. There was no union in this factory. The communication channel between workers, worker representatives and management was smooth. No collective bargain agreement was concluded between the factory and workers, but the factory did not prevent workers from bargaining for the agreement.</t>
  </si>
  <si>
    <t>Full Audit</t>
  </si>
  <si>
    <t>This violates Article 41 of the Labor Law of the People's Republic of China.
The workers' overtime work was voluntary. Due to the high frequency of excessive overtime, this issue is rated as No.</t>
  </si>
  <si>
    <t>这违反了《中华人民共和国劳动法》第41条的要求。
员工均为自愿加班。由于加班时间超时的频率较高，此问题被评分为不符合.</t>
  </si>
  <si>
    <t>Based on site observation, document review and personnel interview, it was noted that the factory has established a written BSCI management procedure, which has been approved by the top management; However, the factory's social responsibility management procedure has not been effectively operated, nonconformities were found in the following performance areas:
This violates BSCI Code of Conduct. The factory representative claims that they will continue to make improvements. Based on the overall review of the 13 performance chapters of BSCI, this item is rated as' Partially Compliant '.</t>
  </si>
  <si>
    <t>这违反了《劳动法》第72和73条的要求。根据上述参保人数的比例，此问题点被评分为不符合。</t>
  </si>
  <si>
    <t>This violates the requirements of PRC Labor Act, Article 72 and 73. According to above mentioned proportion of insurance participants, this question is rated as No.</t>
  </si>
  <si>
    <t>根据现场观察、文件审查和人员访谈，发现工厂已经制定了书面的BSCI管理程序，该程序已得到最高管理层的批准；然而，工厂的社会责任管理程序没有得到有效运行，在以下绩效领域发现了不符合项：
这违反了BSCI行为准则的要求。工厂代表声称他们会进行持续改善。基于BSCI 13个绩效章节的整体审核情况,本项评定为"部分符合"。</t>
  </si>
  <si>
    <t>25CHN-0810962</t>
  </si>
  <si>
    <t>周伟武/生产经理</t>
  </si>
  <si>
    <t>Mr. Zhou Weiwu/Production Manager</t>
  </si>
  <si>
    <t>jacky@kingslong.com</t>
  </si>
  <si>
    <t>Guangzhou</t>
  </si>
  <si>
    <t>Guangzhou Kingslong Bag and Case Co., Ltd.</t>
  </si>
  <si>
    <t>NO.1, Hengling 6 Road, Qianjin Village, Shiling Town, Huadu District, Guangzhou City, Guangdong, China</t>
  </si>
  <si>
    <t>广州金仕龙箱包有限公司(91440114593709858R)</t>
  </si>
  <si>
    <t>广州市花都区狮岭镇前进村自编横岭六巷1号第1-3层</t>
  </si>
  <si>
    <t>156-054052-001</t>
  </si>
  <si>
    <t>03/2025</t>
  </si>
  <si>
    <t>OPS02 - F3 NEW BLW Template amfori BSCI audits</t>
    <phoneticPr fontId="0" type="noConversion"/>
  </si>
  <si>
    <t xml:space="preserve">Revision: 1 Issue 1   </t>
  </si>
  <si>
    <t>Author: August Wang</t>
    <phoneticPr fontId="0" type="noConversion"/>
  </si>
  <si>
    <t>Release Date: April 4, 2023</t>
  </si>
  <si>
    <t>Approved: Adriana Petrova</t>
  </si>
  <si>
    <t>Audit information</t>
  </si>
  <si>
    <t>Facility Name</t>
  </si>
  <si>
    <t xml:space="preserve">Audit ID </t>
  </si>
  <si>
    <t>Preparation date</t>
  </si>
  <si>
    <t xml:space="preserve">Country of service </t>
  </si>
  <si>
    <t xml:space="preserve">Lead auditor </t>
  </si>
  <si>
    <t>Auditor 1</t>
  </si>
  <si>
    <t>Name of Currency</t>
  </si>
  <si>
    <t>CNY</t>
  </si>
  <si>
    <t>Data collected by auditor</t>
    <phoneticPr fontId="0" type="noConversion"/>
  </si>
  <si>
    <t>Cost of decent lifestyle</t>
  </si>
  <si>
    <t>Cost in local currency</t>
    <phoneticPr fontId="0" type="noConversion"/>
  </si>
  <si>
    <t>Number of individuals</t>
  </si>
  <si>
    <t>Education</t>
  </si>
  <si>
    <t>Clothing</t>
  </si>
  <si>
    <t>Healthcare costs</t>
    <phoneticPr fontId="0" type="noConversion"/>
  </si>
  <si>
    <t>Energy &amp; Water Costs</t>
  </si>
  <si>
    <t>Housing</t>
  </si>
  <si>
    <t>Unexpected Events</t>
  </si>
  <si>
    <t>Savings</t>
  </si>
  <si>
    <t>Statutory deductions from pay</t>
    <phoneticPr fontId="0" type="noConversion"/>
  </si>
  <si>
    <t>Reference family size</t>
    <phoneticPr fontId="0" type="noConversion"/>
  </si>
  <si>
    <t>Number of workers per family</t>
    <phoneticPr fontId="0" type="noConversion"/>
  </si>
  <si>
    <t>Data can be filled into BSCI report in sustainability platform</t>
    <phoneticPr fontId="0" type="noConversion"/>
  </si>
  <si>
    <t>*Remark: the following data can be calculated by formula automatically according to above data collected by auditor.</t>
    <phoneticPr fontId="0" type="noConversion"/>
  </si>
  <si>
    <t>Cost in local currency per family per month</t>
    <phoneticPr fontId="0" type="noConversion"/>
  </si>
  <si>
    <t>Food costs</t>
    <phoneticPr fontId="0" type="noConversion"/>
  </si>
  <si>
    <t>Housing costs</t>
    <phoneticPr fontId="0" type="noConversion"/>
  </si>
  <si>
    <t>Number of workers per family</t>
  </si>
  <si>
    <t>Education costs</t>
    <phoneticPr fontId="0" type="noConversion"/>
  </si>
  <si>
    <t>NFNH costs</t>
    <phoneticPr fontId="0" type="noConversion"/>
  </si>
  <si>
    <t>Additional funds</t>
    <phoneticPr fontId="0" type="noConversion"/>
  </si>
  <si>
    <t>Basic Living Wage</t>
    <phoneticPr fontId="0" type="noConversion"/>
  </si>
  <si>
    <t>08:00-08:30</t>
  </si>
  <si>
    <t>16:45-17:30</t>
  </si>
  <si>
    <t>bags</t>
  </si>
  <si>
    <t>04/2025</t>
  </si>
  <si>
    <t>01/2025</t>
  </si>
  <si>
    <t>11/2024</t>
  </si>
  <si>
    <t>31/12/2025</t>
  </si>
  <si>
    <t>13:30-17:30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</si>
</sst>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 #,##0.00_ ;_ * \-#,##0.00_ ;_ * &quot;-&quot;??_ ;_ @_ "/>
    <numFmt numFmtId="164" formatCode="_(* #,##0.00_);_(* \(#,##0.00\);_(* &quot;-&quot;??_);_(@_)"/>
    <numFmt numFmtId="165" formatCode="dd/mm/yyyy;@"/>
    <numFmt numFmtId="166" formatCode="dd/mm/yyyy;"/>
    <numFmt numFmtId="167" formatCode="&quot;¥&quot;#,##0"/>
    <numFmt numFmtId="168" formatCode="0.0%"/>
    <numFmt numFmtId="169" formatCode="[$-F400]h:mm:ss\ AM/PM"/>
    <numFmt numFmtId="170" formatCode="h:mm;@"/>
    <numFmt numFmtId="171" formatCode="0.0"/>
    <numFmt numFmtId="172" formatCode="0.00_ "/>
    <numFmt numFmtId="173" formatCode="0.00_);[Red]\(0.00\)"/>
  </numFmts>
  <fonts count="92">
    <font>
      <sz val="11"/>
      <color theme="1"/>
      <name val="Calibri"/>
      <family val="1"/>
      <scheme val="minor"/>
    </font>
    <font>
      <sz val="11"/>
      <name val="Calibri"/>
      <family val="2"/>
    </font>
    <font>
      <b/>
      <sz val="11"/>
      <color indexed="8"/>
      <name val="Calibri"/>
      <family val="2"/>
    </font>
    <font>
      <b/>
      <sz val="14"/>
      <color indexed="8"/>
      <name val="Calibri"/>
      <family val="2"/>
    </font>
    <font>
      <sz val="11"/>
      <color indexed="8"/>
      <name val="Calibri"/>
      <family val="2"/>
    </font>
    <font>
      <b/>
      <sz val="12"/>
      <color indexed="10"/>
      <name val="Calibri"/>
      <family val="2"/>
    </font>
    <font>
      <b/>
      <sz val="11"/>
      <name val="Calibri"/>
      <family val="2"/>
    </font>
    <font>
      <b/>
      <i/>
      <sz val="11"/>
      <color indexed="57"/>
      <name val="Calibri"/>
      <family val="2"/>
    </font>
    <font>
      <b/>
      <i/>
      <sz val="11"/>
      <color indexed="8"/>
      <name val="Calibri"/>
      <family val="2"/>
    </font>
    <font>
      <b/>
      <i/>
      <sz val="11"/>
      <color indexed="17"/>
      <name val="Calibri"/>
      <family val="2"/>
    </font>
    <font>
      <sz val="9.35"/>
      <name val="Calibri"/>
      <family val="2"/>
    </font>
    <font>
      <b/>
      <sz val="11"/>
      <color indexed="57"/>
      <name val="Calibri"/>
      <family val="2"/>
    </font>
    <font>
      <sz val="13"/>
      <name val="Calibri"/>
      <family val="2"/>
    </font>
    <font>
      <sz val="12"/>
      <name val="Calibri"/>
      <family val="2"/>
    </font>
    <font>
      <sz val="15"/>
      <name val="Calibri"/>
      <family val="2"/>
    </font>
    <font>
      <b/>
      <i/>
      <sz val="11"/>
      <color indexed="55"/>
      <name val="Calibri"/>
      <family val="2"/>
    </font>
    <font>
      <b/>
      <sz val="11"/>
      <color indexed="55"/>
      <name val="Calibri"/>
      <family val="2"/>
    </font>
    <font>
      <sz val="9"/>
      <name val="宋体"/>
      <family val="3"/>
      <charset val="134"/>
    </font>
    <font>
      <sz val="9"/>
      <name val="宋体"/>
      <family val="3"/>
      <charset val="134"/>
    </font>
    <font>
      <sz val="11"/>
      <color theme="1"/>
      <name val="Calibri"/>
      <family val="1"/>
      <scheme val="minor"/>
    </font>
    <font>
      <sz val="11"/>
      <color indexed="14"/>
      <name val="Calibri"/>
      <family val="1"/>
      <charset val="134"/>
      <scheme val="minor"/>
    </font>
    <font>
      <b/>
      <sz val="11"/>
      <color rgb="FFFA7D00"/>
      <name val="Calibri"/>
      <family val="1"/>
      <scheme val="minor"/>
    </font>
    <font>
      <u/>
      <sz val="11"/>
      <color theme="10"/>
      <name val="Calibri"/>
      <family val="1"/>
      <scheme val="minor"/>
    </font>
    <font>
      <u/>
      <sz val="11"/>
      <color indexed="39"/>
      <name val="Calibri"/>
      <family val="1"/>
      <charset val="134"/>
      <scheme val="minor"/>
    </font>
    <font>
      <b/>
      <sz val="11"/>
      <color theme="1"/>
      <name val="Calibri"/>
      <family val="1"/>
      <scheme val="minor"/>
    </font>
    <font>
      <sz val="11"/>
      <color rgb="FFFF0000"/>
      <name val="Calibri"/>
      <family val="1"/>
      <scheme val="minor"/>
    </font>
    <font>
      <b/>
      <sz val="12"/>
      <color theme="1"/>
      <name val="Calibri"/>
      <family val="1"/>
      <scheme val="minor"/>
    </font>
    <font>
      <sz val="10"/>
      <color theme="1"/>
      <name val="Calibri"/>
      <family val="1"/>
      <scheme val="minor"/>
    </font>
    <font>
      <sz val="11"/>
      <name val="Calibri"/>
      <family val="1"/>
      <charset val="134"/>
      <scheme val="minor"/>
    </font>
    <font>
      <b/>
      <sz val="14"/>
      <color theme="9" tint="-0.249977111117893"/>
      <name val="Arial Narrow"/>
      <family val="2"/>
    </font>
    <font>
      <b/>
      <sz val="14"/>
      <color rgb="FFE36C0A"/>
      <name val="Arial Narrow"/>
      <family val="2"/>
    </font>
    <font>
      <b/>
      <sz val="12"/>
      <color theme="6" tint="-0.499984740745262"/>
      <name val="Calibri"/>
      <family val="1"/>
      <scheme val="minor"/>
    </font>
    <font>
      <b/>
      <sz val="10"/>
      <color theme="1"/>
      <name val="Calibri"/>
      <family val="1"/>
      <scheme val="minor"/>
    </font>
    <font>
      <b/>
      <sz val="13"/>
      <color theme="6" tint="-0.499984740745262"/>
      <name val="Calibri"/>
      <family val="1"/>
      <scheme val="minor"/>
    </font>
    <font>
      <sz val="12"/>
      <color theme="6" tint="-0.499984740745262"/>
      <name val="Calibri"/>
      <family val="1"/>
      <scheme val="minor"/>
    </font>
    <font>
      <b/>
      <sz val="11"/>
      <color theme="9" tint="-0.249977111117893"/>
      <name val="Calibri"/>
      <family val="1"/>
      <scheme val="minor"/>
    </font>
    <font>
      <sz val="11"/>
      <color theme="6" tint="-0.499984740745262"/>
      <name val="Calibri"/>
      <family val="1"/>
      <scheme val="minor"/>
    </font>
    <font>
      <b/>
      <sz val="16"/>
      <color theme="9" tint="-0.249977111117893"/>
      <name val="Arial Narrow"/>
      <family val="2"/>
    </font>
    <font>
      <b/>
      <sz val="12"/>
      <name val="Calibri"/>
      <family val="1"/>
      <charset val="134"/>
      <scheme val="minor"/>
    </font>
    <font>
      <b/>
      <sz val="11"/>
      <color theme="6" tint="-0.499984740745262"/>
      <name val="Calibri"/>
      <family val="1"/>
      <scheme val="minor"/>
    </font>
    <font>
      <b/>
      <sz val="11"/>
      <color theme="9" tint="-0.249977111117893"/>
      <name val="Arial Narrow"/>
      <family val="2"/>
    </font>
    <font>
      <b/>
      <sz val="11"/>
      <name val="Calibri"/>
      <family val="1"/>
      <charset val="134"/>
      <scheme val="minor"/>
    </font>
    <font>
      <sz val="10"/>
      <color theme="1"/>
      <name val="Arial"/>
      <family val="2"/>
    </font>
    <font>
      <sz val="13"/>
      <color theme="6" tint="-0.499984740745262"/>
      <name val="Calibri"/>
      <family val="1"/>
      <scheme val="minor"/>
    </font>
    <font>
      <b/>
      <i/>
      <sz val="11"/>
      <color theme="6" tint="-0.499984740745262"/>
      <name val="Calibri"/>
      <family val="1"/>
      <scheme val="minor"/>
    </font>
    <font>
      <b/>
      <i/>
      <sz val="11"/>
      <color theme="6" tint="-0.249977111117893"/>
      <name val="Calibri"/>
      <family val="1"/>
      <scheme val="minor"/>
    </font>
    <font>
      <b/>
      <sz val="13"/>
      <name val="Calibri"/>
      <family val="1"/>
      <charset val="134"/>
      <scheme val="minor"/>
    </font>
    <font>
      <sz val="11"/>
      <color theme="9" tint="-0.249977111117893"/>
      <name val="Calibri"/>
      <family val="1"/>
      <scheme val="minor"/>
    </font>
    <font>
      <b/>
      <sz val="16"/>
      <color theme="1"/>
      <name val="Calibri"/>
      <family val="1"/>
      <scheme val="minor"/>
    </font>
    <font>
      <b/>
      <sz val="11"/>
      <color rgb="FF007A37"/>
      <name val="Calibri"/>
      <family val="1"/>
      <scheme val="minor"/>
    </font>
    <font>
      <b/>
      <sz val="18"/>
      <color theme="1"/>
      <name val="Calibri"/>
      <family val="1"/>
      <scheme val="minor"/>
    </font>
    <font>
      <sz val="11"/>
      <color theme="1"/>
      <name val="Arial"/>
      <family val="2"/>
    </font>
    <font>
      <b/>
      <sz val="11"/>
      <name val="Arial"/>
      <family val="2"/>
    </font>
    <font>
      <sz val="11"/>
      <color indexed="8"/>
      <name val="Arial"/>
      <family val="2"/>
    </font>
    <font>
      <sz val="12"/>
      <name val="Calibri"/>
      <family val="2"/>
      <scheme val="minor"/>
    </font>
    <font>
      <sz val="12"/>
      <color theme="1"/>
      <name val="Calibri"/>
      <family val="2"/>
      <scheme val="minor"/>
    </font>
    <font>
      <i/>
      <sz val="12"/>
      <color theme="0" tint="-0.499984740745262"/>
      <name val="Calibri"/>
      <family val="2"/>
      <scheme val="minor"/>
    </font>
    <font>
      <i/>
      <sz val="12"/>
      <color rgb="FF808080"/>
      <name val="Calibri"/>
      <family val="2"/>
      <scheme val="minor"/>
    </font>
    <font>
      <b/>
      <sz val="12"/>
      <name val="Calibri"/>
      <family val="2"/>
      <scheme val="minor"/>
    </font>
    <font>
      <sz val="11"/>
      <color rgb="FFFFFFFF"/>
      <name val="Calibri"/>
      <family val="1"/>
      <scheme val="minor"/>
    </font>
    <font>
      <sz val="9"/>
      <name val="Calibri"/>
      <family val="2"/>
      <scheme val="minor"/>
    </font>
    <font>
      <sz val="8"/>
      <color rgb="FF000000"/>
      <name val="Segoe UI"/>
      <family val="2"/>
    </font>
    <font>
      <sz val="11"/>
      <color theme="1"/>
      <name val="Calibri"/>
      <family val="2"/>
      <scheme val="minor"/>
    </font>
    <font>
      <sz val="11"/>
      <color indexed="14"/>
      <name val="Calibri"/>
      <family val="2"/>
      <scheme val="minor"/>
    </font>
    <font>
      <b/>
      <sz val="11"/>
      <color rgb="FFFA7D00"/>
      <name val="Calibri"/>
      <family val="2"/>
      <scheme val="minor"/>
    </font>
    <font>
      <sz val="11"/>
      <color rgb="FF006100"/>
      <name val="Calibri"/>
      <family val="2"/>
      <scheme val="minor"/>
    </font>
    <font>
      <u/>
      <sz val="11"/>
      <color theme="10"/>
      <name val="Calibri"/>
      <family val="2"/>
      <scheme val="minor"/>
    </font>
    <font>
      <u/>
      <sz val="11"/>
      <color indexed="39"/>
      <name val="Calibri"/>
      <family val="2"/>
      <scheme val="minor"/>
    </font>
    <font>
      <i/>
      <sz val="10"/>
      <color theme="0" tint="-0.499984740745262"/>
      <name val="Calibri"/>
      <family val="2"/>
      <scheme val="minor"/>
    </font>
    <font>
      <sz val="11"/>
      <color rgb="FF000000"/>
      <name val="Calibri"/>
      <family val="2"/>
    </font>
    <font>
      <sz val="11"/>
      <name val="Calibri"/>
      <family val="2"/>
      <scheme val="minor"/>
    </font>
    <font>
      <u/>
      <sz val="11"/>
      <color indexed="12"/>
      <name val="宋体"/>
      <family val="3"/>
      <charset val="134"/>
    </font>
    <font>
      <sz val="10.5"/>
      <name val="Calibri"/>
      <family val="2"/>
      <scheme val="minor"/>
    </font>
    <font>
      <sz val="8"/>
      <name val="Calibri"/>
      <family val="2"/>
      <scheme val="minor"/>
    </font>
    <font>
      <b/>
      <sz val="30"/>
      <color theme="9" tint="-0.249977111117893"/>
      <name val="Arial Narrow"/>
      <family val="2"/>
    </font>
    <font>
      <b/>
      <sz val="11"/>
      <color theme="0"/>
      <name val="Calibri"/>
      <family val="1"/>
      <scheme val="minor"/>
    </font>
    <font>
      <b/>
      <sz val="11"/>
      <color rgb="FFFF0000"/>
      <name val="Calibri"/>
      <family val="1"/>
      <scheme val="minor"/>
    </font>
    <font>
      <sz val="11"/>
      <color theme="0"/>
      <name val="Calibri"/>
      <family val="1"/>
      <scheme val="minor"/>
    </font>
    <font>
      <b/>
      <sz val="12"/>
      <color theme="0"/>
      <name val="Calibri"/>
      <family val="1"/>
      <scheme val="minor"/>
    </font>
    <font>
      <sz val="9"/>
      <color theme="1"/>
      <name val="Calibri"/>
      <family val="1"/>
      <scheme val="minor"/>
    </font>
    <font>
      <sz val="10"/>
      <color rgb="FF000000"/>
      <name val="Calibri"/>
      <family val="2"/>
    </font>
    <font>
      <sz val="9"/>
      <name val="Calibri"/>
      <family val="2"/>
      <charset val="136"/>
      <scheme val="minor"/>
    </font>
    <font>
      <sz val="10"/>
      <name val="Arial"/>
      <family val="2"/>
    </font>
    <font>
      <b/>
      <sz val="22"/>
      <color theme="1"/>
      <name val="Calibri"/>
      <family val="2"/>
      <scheme val="minor"/>
    </font>
    <font>
      <sz val="10"/>
      <name val="Arial"/>
      <family val="2"/>
    </font>
    <font>
      <sz val="18"/>
      <name val="Times New Roman"/>
      <family val="1"/>
    </font>
    <font>
      <sz val="14"/>
      <name val="Times New Roman"/>
      <family val="1"/>
    </font>
    <font>
      <sz val="11"/>
      <name val="Times New Roman"/>
      <family val="1"/>
    </font>
    <font>
      <sz val="11"/>
      <name val="Arial"/>
      <family val="2"/>
    </font>
    <font>
      <b/>
      <sz val="14"/>
      <name val="Arial"/>
      <family val="2"/>
      <charset val="238"/>
    </font>
    <font>
      <sz val="14"/>
      <name val="Arial"/>
      <family val="2"/>
    </font>
    <font>
      <sz val="12"/>
      <color rgb="FFFF0000"/>
      <name val="Arial"/>
      <family val="2"/>
      <charset val="238"/>
    </font>
  </fonts>
  <fills count="36">
    <fill>
      <patternFill patternType="none"/>
    </fill>
    <fill>
      <patternFill patternType="gray125"/>
    </fill>
    <fill>
      <patternFill patternType="solid">
        <fgColor indexed="9"/>
      </patternFill>
    </fill>
    <fill>
      <patternFill patternType="solid">
        <fgColor rgb="FFFFC7CE"/>
      </patternFill>
    </fill>
    <fill>
      <patternFill patternType="solid">
        <fgColor theme="0" tint="-4.9989318521683403E-2"/>
        <bgColor indexed="64"/>
      </patternFill>
    </fill>
    <fill>
      <patternFill patternType="solid">
        <fgColor rgb="FFFFEFBD"/>
        <bgColor indexed="64"/>
      </patternFill>
    </fill>
    <fill>
      <patternFill patternType="solid">
        <fgColor rgb="FFFEF1E6"/>
        <bgColor indexed="64"/>
      </patternFill>
    </fill>
    <fill>
      <patternFill patternType="solid">
        <fgColor theme="0"/>
        <bgColor indexed="64"/>
      </patternFill>
    </fill>
    <fill>
      <patternFill patternType="solid">
        <fgColor theme="6" tint="0.79998168889431442"/>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9F9F9"/>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1" tint="0.499984740745262"/>
        <bgColor indexed="64"/>
      </patternFill>
    </fill>
    <fill>
      <patternFill patternType="solid">
        <fgColor rgb="FF90713A"/>
        <bgColor indexed="64"/>
      </patternFill>
    </fill>
    <fill>
      <patternFill patternType="solid">
        <fgColor rgb="FFFFFF99"/>
        <bgColor indexed="64"/>
      </patternFill>
    </fill>
    <fill>
      <patternFill patternType="solid">
        <fgColor rgb="FF99CCFF"/>
        <bgColor indexed="64"/>
      </patternFill>
    </fill>
    <fill>
      <patternFill patternType="solid">
        <fgColor theme="6" tint="0.59996337778862885"/>
        <bgColor indexed="64"/>
      </patternFill>
    </fill>
    <fill>
      <patternFill patternType="solid">
        <fgColor theme="3" tint="0.59996337778862885"/>
        <bgColor indexed="64"/>
      </patternFill>
    </fill>
    <fill>
      <patternFill patternType="solid">
        <fgColor theme="6" tint="0.39994506668294322"/>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rgb="FFC6EFCE"/>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DDD9C4"/>
        <bgColor indexed="64"/>
      </patternFill>
    </fill>
    <fill>
      <patternFill patternType="solid">
        <fgColor theme="2" tint="-9.9948118533890809E-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rgb="FFD6DCE4"/>
        <bgColor rgb="FF000000"/>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8"/>
      </left>
      <right style="thin">
        <color indexed="64"/>
      </right>
      <top/>
      <bottom style="thin">
        <color indexed="8"/>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24">
    <xf numFmtId="0" fontId="0" fillId="0" borderId="0"/>
    <xf numFmtId="0" fontId="20" fillId="3" borderId="0" applyNumberFormat="0" applyBorder="0" applyAlignment="0" applyProtection="0"/>
    <xf numFmtId="0" fontId="21" fillId="2" borderId="25" applyNumberFormat="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19" fillId="0" borderId="0"/>
    <xf numFmtId="0" fontId="19" fillId="0" borderId="0"/>
    <xf numFmtId="9" fontId="19" fillId="0" borderId="0" applyFont="0" applyFill="0" applyBorder="0" applyAlignment="0" applyProtection="0"/>
    <xf numFmtId="9" fontId="4" fillId="0" borderId="0" applyFont="0" applyFill="0" applyBorder="0" applyAlignment="0" applyProtection="0"/>
    <xf numFmtId="0" fontId="62" fillId="0" borderId="0"/>
    <xf numFmtId="0" fontId="63" fillId="3" borderId="0" applyNumberFormat="0" applyBorder="0" applyAlignment="0" applyProtection="0"/>
    <xf numFmtId="0" fontId="64" fillId="2" borderId="25" applyNumberFormat="0" applyAlignment="0" applyProtection="0"/>
    <xf numFmtId="0" fontId="65" fillId="26" borderId="0" applyNumberFormat="0" applyBorder="0" applyAlignment="0" applyProtection="0"/>
    <xf numFmtId="0" fontId="66" fillId="0" borderId="0" applyNumberFormat="0" applyFill="0" applyBorder="0" applyAlignment="0" applyProtection="0"/>
    <xf numFmtId="0" fontId="67" fillId="0" borderId="0" applyNumberFormat="0" applyFill="0" applyBorder="0" applyAlignment="0" applyProtection="0"/>
    <xf numFmtId="0" fontId="62" fillId="27" borderId="26" applyNumberFormat="0" applyFont="0" applyAlignment="0" applyProtection="0"/>
    <xf numFmtId="9" fontId="62" fillId="0" borderId="0" applyFont="0" applyFill="0" applyBorder="0" applyAlignment="0" applyProtection="0"/>
    <xf numFmtId="0" fontId="62" fillId="0" borderId="0">
      <alignment vertical="center"/>
    </xf>
    <xf numFmtId="0" fontId="71" fillId="0" borderId="0" applyNumberFormat="0" applyFill="0" applyBorder="0" applyAlignment="0" applyProtection="0">
      <alignment vertical="top"/>
      <protection locked="0"/>
    </xf>
    <xf numFmtId="0" fontId="82" fillId="0" borderId="0"/>
    <xf numFmtId="0" fontId="82" fillId="0" borderId="0"/>
    <xf numFmtId="0" fontId="84" fillId="0" borderId="0"/>
    <xf numFmtId="164" fontId="82" fillId="0" borderId="0" applyFont="0" applyFill="0" applyBorder="0" applyAlignment="0" applyProtection="0">
      <alignment vertical="center"/>
    </xf>
    <xf numFmtId="43" fontId="82" fillId="0" borderId="0" applyFont="0" applyFill="0" applyBorder="0" applyAlignment="0" applyProtection="0">
      <alignment vertical="center"/>
    </xf>
  </cellStyleXfs>
  <cellXfs count="659">
    <xf numFmtId="0" fontId="0" fillId="0" borderId="0" xfId="0"/>
    <xf numFmtId="0" fontId="0" fillId="0" borderId="0" xfId="0" applyAlignment="1">
      <alignment vertical="center"/>
    </xf>
    <xf numFmtId="0" fontId="26" fillId="0" borderId="0" xfId="0" applyFont="1" applyAlignment="1">
      <alignment horizontal="left" vertical="center"/>
    </xf>
    <xf numFmtId="0" fontId="26" fillId="0" borderId="0" xfId="0" applyFont="1" applyAlignment="1">
      <alignment horizontal="left" vertical="center" wrapText="1"/>
    </xf>
    <xf numFmtId="0" fontId="0" fillId="0" borderId="0" xfId="0" applyAlignment="1">
      <alignment wrapText="1"/>
    </xf>
    <xf numFmtId="0" fontId="26" fillId="0" borderId="0" xfId="0" applyFont="1" applyAlignment="1">
      <alignment horizontal="center" vertical="center"/>
    </xf>
    <xf numFmtId="0" fontId="26" fillId="0" borderId="0" xfId="0" applyFont="1" applyAlignment="1">
      <alignment horizontal="center" vertical="center" wrapText="1"/>
    </xf>
    <xf numFmtId="0" fontId="24" fillId="0" borderId="0" xfId="0" applyFont="1" applyAlignment="1">
      <alignment horizontal="center" vertical="center" wrapText="1"/>
    </xf>
    <xf numFmtId="0" fontId="0" fillId="5" borderId="0" xfId="0" applyFill="1" applyAlignment="1">
      <alignment horizontal="center" vertical="center" wrapText="1"/>
    </xf>
    <xf numFmtId="0" fontId="0" fillId="4" borderId="0" xfId="0" applyFill="1"/>
    <xf numFmtId="0" fontId="0" fillId="4" borderId="0" xfId="0" applyFill="1" applyAlignment="1">
      <alignment vertic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27" fillId="0" borderId="0" xfId="0" applyFont="1" applyAlignment="1">
      <alignment horizontal="center" vertical="center"/>
    </xf>
    <xf numFmtId="0" fontId="28" fillId="0" borderId="0" xfId="0" applyFont="1" applyAlignment="1">
      <alignment horizontal="center" vertical="center"/>
    </xf>
    <xf numFmtId="0" fontId="29" fillId="6" borderId="0" xfId="0" applyFont="1" applyFill="1" applyAlignment="1">
      <alignment horizontal="center" vertical="center"/>
    </xf>
    <xf numFmtId="0" fontId="30" fillId="6" borderId="0" xfId="0" applyFont="1" applyFill="1" applyAlignment="1">
      <alignment horizontal="center" vertical="center"/>
    </xf>
    <xf numFmtId="0" fontId="0" fillId="0" borderId="0" xfId="0" applyAlignment="1">
      <alignment horizontal="center"/>
    </xf>
    <xf numFmtId="0" fontId="31" fillId="0" borderId="0" xfId="0" applyFont="1" applyAlignment="1">
      <alignment horizontal="center" vertical="center"/>
    </xf>
    <xf numFmtId="0" fontId="27" fillId="0" borderId="0" xfId="0" applyFont="1" applyAlignment="1">
      <alignment vertical="center" wrapText="1"/>
    </xf>
    <xf numFmtId="0" fontId="0" fillId="4" borderId="0" xfId="0" applyFill="1" applyAlignment="1">
      <alignment vertical="center" wrapText="1"/>
    </xf>
    <xf numFmtId="0" fontId="27" fillId="0" borderId="0" xfId="0" applyFont="1" applyAlignment="1">
      <alignment horizontal="center" vertical="center" wrapText="1"/>
    </xf>
    <xf numFmtId="0" fontId="24" fillId="0" borderId="0" xfId="0" applyFont="1" applyAlignment="1">
      <alignment vertical="center" wrapText="1"/>
    </xf>
    <xf numFmtId="0" fontId="26" fillId="0" borderId="0" xfId="0" applyFont="1" applyAlignment="1">
      <alignment vertical="center" wrapText="1"/>
    </xf>
    <xf numFmtId="0" fontId="33" fillId="0" borderId="0" xfId="0" applyFont="1" applyAlignment="1">
      <alignment vertical="center"/>
    </xf>
    <xf numFmtId="0" fontId="33" fillId="4" borderId="0" xfId="0" applyFont="1" applyFill="1" applyAlignment="1">
      <alignment vertical="center"/>
    </xf>
    <xf numFmtId="0" fontId="0" fillId="0" borderId="0" xfId="0" applyAlignment="1">
      <alignment horizontal="left" vertical="center" wrapText="1"/>
    </xf>
    <xf numFmtId="0" fontId="34" fillId="0" borderId="0" xfId="0" applyFont="1" applyAlignment="1">
      <alignment horizontal="left" vertical="center" wrapText="1"/>
    </xf>
    <xf numFmtId="0" fontId="0" fillId="7" borderId="0" xfId="0" applyFill="1" applyAlignment="1">
      <alignment horizontal="center" vertical="center" wrapText="1"/>
    </xf>
    <xf numFmtId="0" fontId="31" fillId="0" borderId="0" xfId="0" applyFont="1" applyAlignment="1">
      <alignment horizontal="center" vertical="center" wrapText="1"/>
    </xf>
    <xf numFmtId="0" fontId="0" fillId="4" borderId="0" xfId="0" applyFill="1" applyAlignment="1">
      <alignment wrapText="1"/>
    </xf>
    <xf numFmtId="0" fontId="32" fillId="0" borderId="0" xfId="0" applyFont="1" applyAlignment="1">
      <alignment horizontal="center" vertical="center" wrapText="1"/>
    </xf>
    <xf numFmtId="0" fontId="27" fillId="0" borderId="0" xfId="0" applyFont="1"/>
    <xf numFmtId="0" fontId="24" fillId="9" borderId="2" xfId="0" applyFont="1" applyFill="1" applyBorder="1" applyAlignment="1">
      <alignment horizontal="center" vertical="center" wrapText="1"/>
    </xf>
    <xf numFmtId="0" fontId="0" fillId="0" borderId="2" xfId="0" applyBorder="1"/>
    <xf numFmtId="49" fontId="0" fillId="0" borderId="2" xfId="0" applyNumberFormat="1" applyBorder="1"/>
    <xf numFmtId="0" fontId="27" fillId="0" borderId="3" xfId="0" applyFont="1" applyBorder="1"/>
    <xf numFmtId="0" fontId="0" fillId="0" borderId="3" xfId="0" applyBorder="1"/>
    <xf numFmtId="49" fontId="0" fillId="0" borderId="3" xfId="0" applyNumberFormat="1" applyBorder="1"/>
    <xf numFmtId="0" fontId="27" fillId="0" borderId="4" xfId="0" applyFont="1" applyBorder="1"/>
    <xf numFmtId="0" fontId="27" fillId="0" borderId="5" xfId="0" applyFont="1" applyBorder="1"/>
    <xf numFmtId="0" fontId="27" fillId="0" borderId="6" xfId="0" applyFont="1" applyBorder="1"/>
    <xf numFmtId="0" fontId="27" fillId="0" borderId="7" xfId="0" applyFont="1" applyBorder="1"/>
    <xf numFmtId="0" fontId="0" fillId="0" borderId="4" xfId="0" applyBorder="1"/>
    <xf numFmtId="0" fontId="0" fillId="0" borderId="5" xfId="0" applyBorder="1"/>
    <xf numFmtId="0" fontId="0" fillId="0" borderId="6" xfId="0" applyBorder="1"/>
    <xf numFmtId="0" fontId="0" fillId="0" borderId="7" xfId="0" applyBorder="1"/>
    <xf numFmtId="49" fontId="0" fillId="0" borderId="5" xfId="0" applyNumberFormat="1" applyBorder="1"/>
    <xf numFmtId="49" fontId="0" fillId="0" borderId="6" xfId="0" applyNumberFormat="1" applyBorder="1"/>
    <xf numFmtId="0" fontId="0" fillId="0" borderId="8" xfId="0" applyBorder="1"/>
    <xf numFmtId="0" fontId="0" fillId="0" borderId="9" xfId="0" applyBorder="1"/>
    <xf numFmtId="0" fontId="24" fillId="9" borderId="1" xfId="0" applyFont="1" applyFill="1" applyBorder="1" applyAlignment="1">
      <alignment horizontal="center" vertical="center" wrapText="1"/>
    </xf>
    <xf numFmtId="49" fontId="0" fillId="0" borderId="0" xfId="0" applyNumberFormat="1"/>
    <xf numFmtId="0" fontId="24" fillId="0" borderId="0" xfId="0" applyFont="1" applyAlignment="1">
      <alignment wrapText="1"/>
    </xf>
    <xf numFmtId="0" fontId="30" fillId="6" borderId="0" xfId="0" applyFont="1" applyFill="1" applyAlignment="1">
      <alignment horizontal="left" vertical="center"/>
    </xf>
    <xf numFmtId="0" fontId="29" fillId="6" borderId="0" xfId="0" applyFont="1" applyFill="1" applyAlignment="1">
      <alignment horizontal="left" vertical="center"/>
    </xf>
    <xf numFmtId="0" fontId="27" fillId="0" borderId="2" xfId="0" applyFont="1" applyBorder="1"/>
    <xf numFmtId="0" fontId="24" fillId="9" borderId="4" xfId="0" applyFont="1" applyFill="1" applyBorder="1" applyAlignment="1">
      <alignment horizontal="center" vertical="center" wrapText="1"/>
    </xf>
    <xf numFmtId="49" fontId="0" fillId="0" borderId="0" xfId="0" applyNumberFormat="1" applyAlignment="1">
      <alignment horizontal="center" vertical="center"/>
    </xf>
    <xf numFmtId="0" fontId="36" fillId="7" borderId="0" xfId="0" applyFont="1" applyFill="1" applyAlignment="1">
      <alignment horizontal="center" vertical="center" wrapText="1"/>
    </xf>
    <xf numFmtId="0" fontId="36" fillId="0" borderId="0" xfId="0" applyFont="1" applyAlignment="1">
      <alignment horizontal="center" vertical="center" wrapText="1"/>
    </xf>
    <xf numFmtId="0" fontId="28" fillId="4" borderId="1" xfId="0" applyFont="1" applyFill="1" applyBorder="1" applyAlignment="1">
      <alignment horizontal="center" vertical="center" wrapText="1"/>
    </xf>
    <xf numFmtId="0" fontId="24" fillId="10" borderId="0" xfId="0" applyFont="1" applyFill="1" applyAlignment="1">
      <alignment horizontal="center" vertical="center" wrapText="1"/>
    </xf>
    <xf numFmtId="0" fontId="29" fillId="6" borderId="0" xfId="0" applyFont="1" applyFill="1" applyAlignment="1">
      <alignment vertical="center"/>
    </xf>
    <xf numFmtId="0" fontId="28" fillId="5" borderId="0" xfId="3" applyFont="1" applyFill="1" applyAlignment="1">
      <alignment vertical="center" wrapText="1"/>
    </xf>
    <xf numFmtId="0" fontId="28" fillId="0" borderId="0" xfId="3" applyFont="1" applyAlignment="1">
      <alignment vertical="center" wrapText="1"/>
    </xf>
    <xf numFmtId="0" fontId="38" fillId="0" borderId="0" xfId="0" applyFont="1" applyAlignment="1">
      <alignment horizontal="left" vertical="center" wrapText="1"/>
    </xf>
    <xf numFmtId="0" fontId="28" fillId="5" borderId="0" xfId="3" applyFont="1" applyFill="1" applyBorder="1" applyAlignment="1">
      <alignment vertical="center" wrapText="1"/>
    </xf>
    <xf numFmtId="0" fontId="0" fillId="7" borderId="0" xfId="0" applyFill="1"/>
    <xf numFmtId="0" fontId="28" fillId="0" borderId="0" xfId="3" applyFont="1" applyFill="1" applyBorder="1" applyAlignment="1">
      <alignment vertical="center" wrapText="1"/>
    </xf>
    <xf numFmtId="0" fontId="24" fillId="0" borderId="1" xfId="0" applyFont="1" applyBorder="1" applyAlignment="1">
      <alignment horizontal="center" vertical="center" wrapText="1"/>
    </xf>
    <xf numFmtId="0" fontId="39" fillId="0" borderId="0" xfId="0" applyFont="1" applyAlignment="1">
      <alignment horizontal="center" vertical="center"/>
    </xf>
    <xf numFmtId="0" fontId="39" fillId="0" borderId="0" xfId="0" applyFont="1" applyAlignment="1">
      <alignment horizontal="center" vertical="center" wrapText="1"/>
    </xf>
    <xf numFmtId="0" fontId="39" fillId="0" borderId="0" xfId="0" applyFont="1" applyAlignment="1">
      <alignment vertical="center" wrapText="1"/>
    </xf>
    <xf numFmtId="0" fontId="0" fillId="0" borderId="0" xfId="0" applyAlignment="1">
      <alignment horizontal="left"/>
    </xf>
    <xf numFmtId="0" fontId="40" fillId="0" borderId="0" xfId="0" applyFont="1" applyAlignment="1">
      <alignment horizontal="center" vertical="center"/>
    </xf>
    <xf numFmtId="0" fontId="39" fillId="0" borderId="0" xfId="0" applyFont="1" applyAlignment="1">
      <alignment vertical="center"/>
    </xf>
    <xf numFmtId="0" fontId="39" fillId="7" borderId="0" xfId="0" applyFont="1" applyFill="1" applyAlignment="1">
      <alignment vertical="center" wrapText="1"/>
    </xf>
    <xf numFmtId="0" fontId="33" fillId="0" borderId="0" xfId="0" applyFont="1" applyAlignment="1">
      <alignment horizontal="center" vertical="center"/>
    </xf>
    <xf numFmtId="0" fontId="33" fillId="7" borderId="0" xfId="0" applyFont="1" applyFill="1" applyAlignment="1">
      <alignment horizontal="center" vertical="center"/>
    </xf>
    <xf numFmtId="0" fontId="39" fillId="7" borderId="0" xfId="0" applyFont="1" applyFill="1" applyAlignment="1">
      <alignment horizontal="center" vertical="center"/>
    </xf>
    <xf numFmtId="0" fontId="41" fillId="4" borderId="1" xfId="0" applyFont="1" applyFill="1" applyBorder="1" applyAlignment="1">
      <alignment horizontal="center" vertical="center" wrapText="1"/>
    </xf>
    <xf numFmtId="0" fontId="33" fillId="7" borderId="0" xfId="0" applyFont="1" applyFill="1" applyAlignment="1">
      <alignment vertical="center"/>
    </xf>
    <xf numFmtId="0" fontId="39" fillId="4" borderId="1" xfId="0" applyFont="1" applyFill="1" applyBorder="1" applyAlignment="1">
      <alignment horizontal="center" vertical="center"/>
    </xf>
    <xf numFmtId="0" fontId="39" fillId="4" borderId="11" xfId="0" applyFont="1" applyFill="1" applyBorder="1" applyAlignment="1">
      <alignment horizontal="left" vertical="center" wrapText="1"/>
    </xf>
    <xf numFmtId="0" fontId="27" fillId="0" borderId="12" xfId="0" applyFont="1" applyBorder="1"/>
    <xf numFmtId="0" fontId="27" fillId="0" borderId="13" xfId="0" applyFont="1" applyBorder="1"/>
    <xf numFmtId="0" fontId="27" fillId="0" borderId="14" xfId="0" applyFont="1" applyBorder="1"/>
    <xf numFmtId="0" fontId="43" fillId="7" borderId="0" xfId="0" applyFont="1" applyFill="1" applyAlignment="1">
      <alignment horizontal="center" vertical="center"/>
    </xf>
    <xf numFmtId="0" fontId="39" fillId="4" borderId="1" xfId="0" applyFont="1" applyFill="1" applyBorder="1" applyAlignment="1">
      <alignment horizontal="center" vertical="center" wrapText="1"/>
    </xf>
    <xf numFmtId="0" fontId="40" fillId="7" borderId="0" xfId="0" applyFont="1" applyFill="1" applyAlignment="1">
      <alignment horizontal="center" vertical="center" wrapText="1"/>
    </xf>
    <xf numFmtId="0" fontId="41" fillId="4" borderId="1" xfId="0" applyFont="1" applyFill="1" applyBorder="1" applyAlignment="1">
      <alignment horizontal="left" vertical="center" wrapText="1"/>
    </xf>
    <xf numFmtId="0" fontId="44" fillId="7" borderId="0" xfId="0" applyFont="1" applyFill="1" applyAlignment="1">
      <alignment horizontal="left" vertical="center" wrapText="1"/>
    </xf>
    <xf numFmtId="0" fontId="24" fillId="9" borderId="0" xfId="0" applyFont="1" applyFill="1" applyAlignment="1">
      <alignment horizontal="center" vertical="center" wrapText="1"/>
    </xf>
    <xf numFmtId="0" fontId="32" fillId="4" borderId="15" xfId="0" applyFont="1" applyFill="1" applyBorder="1" applyAlignment="1">
      <alignment horizontal="center" vertical="center" wrapText="1"/>
    </xf>
    <xf numFmtId="0" fontId="41" fillId="0" borderId="0" xfId="0" applyFont="1" applyAlignment="1">
      <alignment horizontal="center" vertical="center"/>
    </xf>
    <xf numFmtId="0" fontId="45" fillId="0" borderId="0" xfId="0" applyFont="1" applyAlignment="1">
      <alignment vertical="center" wrapText="1"/>
    </xf>
    <xf numFmtId="0" fontId="41" fillId="0" borderId="0" xfId="0" applyFont="1" applyAlignment="1">
      <alignment horizontal="left" vertical="center" wrapText="1"/>
    </xf>
    <xf numFmtId="0" fontId="37" fillId="0" borderId="0" xfId="0" applyFont="1" applyAlignment="1">
      <alignment horizontal="center" vertical="center"/>
    </xf>
    <xf numFmtId="0" fontId="27" fillId="0" borderId="8" xfId="0" applyFont="1" applyBorder="1" applyAlignment="1">
      <alignment horizontal="center" vertical="center"/>
    </xf>
    <xf numFmtId="0" fontId="27" fillId="0" borderId="9" xfId="0" applyFont="1" applyBorder="1" applyAlignment="1">
      <alignment horizontal="center" vertical="center"/>
    </xf>
    <xf numFmtId="0" fontId="27" fillId="0" borderId="8" xfId="0" applyFont="1" applyBorder="1"/>
    <xf numFmtId="0" fontId="27" fillId="0" borderId="9" xfId="0" applyFont="1" applyBorder="1"/>
    <xf numFmtId="0" fontId="27" fillId="0" borderId="4" xfId="0" applyFont="1" applyBorder="1" applyAlignment="1">
      <alignment horizontal="center" vertical="center"/>
    </xf>
    <xf numFmtId="0" fontId="27" fillId="0" borderId="3" xfId="0" applyFont="1" applyBorder="1" applyAlignment="1">
      <alignment horizontal="center" vertical="center"/>
    </xf>
    <xf numFmtId="0" fontId="27" fillId="0" borderId="5" xfId="0" applyFont="1" applyBorder="1" applyAlignment="1">
      <alignment horizontal="center"/>
    </xf>
    <xf numFmtId="0" fontId="41" fillId="0" borderId="0" xfId="0" applyFont="1" applyAlignment="1">
      <alignment horizontal="right" vertical="center" wrapText="1"/>
    </xf>
    <xf numFmtId="0" fontId="28" fillId="0" borderId="0" xfId="0" applyFont="1" applyAlignment="1">
      <alignment horizontal="center" vertical="center" wrapText="1"/>
    </xf>
    <xf numFmtId="9" fontId="38" fillId="0" borderId="0" xfId="7" applyFont="1" applyFill="1" applyBorder="1" applyAlignment="1">
      <alignment horizontal="left" vertical="center"/>
    </xf>
    <xf numFmtId="0" fontId="43" fillId="0" borderId="0" xfId="0" applyFont="1" applyAlignment="1">
      <alignment horizontal="center" vertical="center"/>
    </xf>
    <xf numFmtId="0" fontId="33" fillId="0" borderId="1" xfId="0" applyFont="1" applyBorder="1" applyAlignment="1">
      <alignment horizontal="center" vertical="center"/>
    </xf>
    <xf numFmtId="0" fontId="24" fillId="0" borderId="0" xfId="0" applyFont="1" applyAlignment="1">
      <alignment horizontal="left" vertical="center" wrapText="1"/>
    </xf>
    <xf numFmtId="0" fontId="43" fillId="0" borderId="1" xfId="0" applyFont="1" applyBorder="1" applyAlignment="1">
      <alignment horizontal="center" vertical="center"/>
    </xf>
    <xf numFmtId="0" fontId="46" fillId="0" borderId="0" xfId="0" applyFont="1" applyAlignment="1">
      <alignment horizontal="center" vertical="center"/>
    </xf>
    <xf numFmtId="0" fontId="41" fillId="0" borderId="0" xfId="0" applyFont="1" applyAlignment="1">
      <alignment horizontal="left" vertical="center"/>
    </xf>
    <xf numFmtId="0" fontId="24" fillId="11" borderId="1" xfId="0" applyFont="1" applyFill="1" applyBorder="1" applyAlignment="1">
      <alignment horizontal="left" vertical="center" wrapText="1"/>
    </xf>
    <xf numFmtId="0" fontId="24" fillId="4" borderId="1" xfId="0" applyFont="1" applyFill="1" applyBorder="1" applyAlignment="1">
      <alignment horizontal="center" vertical="center" wrapText="1"/>
    </xf>
    <xf numFmtId="0" fontId="39" fillId="0" borderId="0" xfId="0" applyFont="1" applyAlignment="1">
      <alignment horizontal="left" vertical="center" wrapText="1"/>
    </xf>
    <xf numFmtId="0" fontId="39" fillId="0" borderId="0" xfId="0" applyFont="1" applyAlignment="1">
      <alignment horizontal="left" vertical="center"/>
    </xf>
    <xf numFmtId="0" fontId="0" fillId="0" borderId="0" xfId="0" applyAlignment="1" applyProtection="1">
      <alignment horizontal="left" vertical="center" wrapText="1"/>
      <protection locked="0"/>
    </xf>
    <xf numFmtId="0" fontId="24" fillId="0" borderId="17" xfId="0" applyFont="1" applyBorder="1" applyAlignment="1">
      <alignment vertical="top" wrapText="1"/>
    </xf>
    <xf numFmtId="0" fontId="0" fillId="0" borderId="10" xfId="0" applyBorder="1"/>
    <xf numFmtId="0" fontId="24" fillId="12" borderId="1" xfId="0" applyFont="1" applyFill="1" applyBorder="1" applyAlignment="1">
      <alignment horizontal="center" vertical="center" wrapText="1"/>
    </xf>
    <xf numFmtId="0" fontId="26"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46" fillId="13" borderId="1" xfId="0" applyFont="1" applyFill="1" applyBorder="1" applyAlignment="1">
      <alignment horizontal="center" vertical="center"/>
    </xf>
    <xf numFmtId="0" fontId="26" fillId="12" borderId="1" xfId="0" applyFont="1" applyFill="1" applyBorder="1" applyAlignment="1">
      <alignment horizontal="left" vertical="center"/>
    </xf>
    <xf numFmtId="0" fontId="26" fillId="12" borderId="1" xfId="0" applyFont="1" applyFill="1" applyBorder="1" applyAlignment="1">
      <alignment horizontal="center" vertical="center"/>
    </xf>
    <xf numFmtId="0" fontId="35" fillId="0" borderId="0" xfId="0" applyFont="1" applyAlignment="1">
      <alignment horizontal="left" vertical="center" wrapText="1"/>
    </xf>
    <xf numFmtId="0" fontId="47" fillId="0" borderId="0" xfId="0" applyFont="1" applyAlignment="1">
      <alignment horizontal="left" vertical="center" wrapText="1"/>
    </xf>
    <xf numFmtId="0" fontId="28" fillId="0" borderId="0" xfId="0" applyFont="1" applyAlignment="1">
      <alignment horizontal="left" vertical="center" wrapText="1"/>
    </xf>
    <xf numFmtId="0" fontId="26" fillId="12" borderId="1" xfId="0" applyFont="1" applyFill="1" applyBorder="1" applyAlignment="1">
      <alignment horizontal="center" vertical="center" wrapText="1"/>
    </xf>
    <xf numFmtId="1" fontId="26" fillId="4" borderId="1" xfId="0" applyNumberFormat="1" applyFont="1" applyFill="1" applyBorder="1" applyAlignment="1">
      <alignment horizontal="center" vertical="center" wrapText="1"/>
    </xf>
    <xf numFmtId="1" fontId="0" fillId="0" borderId="18" xfId="0" applyNumberFormat="1" applyBorder="1" applyAlignment="1">
      <alignment horizontal="center" vertical="center" wrapText="1"/>
    </xf>
    <xf numFmtId="1" fontId="0" fillId="0" borderId="1" xfId="0" applyNumberFormat="1" applyBorder="1" applyAlignment="1">
      <alignment horizontal="center" vertical="center" wrapText="1"/>
    </xf>
    <xf numFmtId="9" fontId="0" fillId="0" borderId="4" xfId="0" applyNumberFormat="1" applyBorder="1" applyAlignment="1">
      <alignment horizontal="center" vertical="center" wrapText="1"/>
    </xf>
    <xf numFmtId="9" fontId="26" fillId="15" borderId="19" xfId="7" applyFont="1" applyFill="1" applyBorder="1" applyAlignment="1">
      <alignment horizontal="center" vertical="center"/>
    </xf>
    <xf numFmtId="1" fontId="26" fillId="4" borderId="0" xfId="0" applyNumberFormat="1" applyFont="1" applyFill="1" applyAlignment="1">
      <alignment horizontal="center" vertical="center" wrapText="1"/>
    </xf>
    <xf numFmtId="0" fontId="0" fillId="7" borderId="16" xfId="0" applyFill="1" applyBorder="1" applyAlignment="1">
      <alignment horizontal="left" vertical="center" wrapText="1"/>
    </xf>
    <xf numFmtId="0" fontId="0" fillId="0" borderId="1" xfId="0" applyBorder="1"/>
    <xf numFmtId="0" fontId="0" fillId="16" borderId="1" xfId="0" applyFill="1" applyBorder="1" applyAlignment="1">
      <alignment vertical="center" wrapText="1"/>
    </xf>
    <xf numFmtId="0" fontId="0" fillId="18" borderId="1" xfId="0" applyFill="1" applyBorder="1" applyAlignment="1" applyProtection="1">
      <alignment horizontal="center" vertical="center" wrapText="1"/>
      <protection locked="0"/>
    </xf>
    <xf numFmtId="0" fontId="24" fillId="18" borderId="1" xfId="0" applyFont="1" applyFill="1" applyBorder="1" applyAlignment="1" applyProtection="1">
      <alignment horizontal="center" vertical="center" wrapText="1"/>
      <protection locked="0"/>
    </xf>
    <xf numFmtId="0" fontId="0" fillId="19" borderId="1" xfId="0" applyFill="1" applyBorder="1" applyAlignment="1" applyProtection="1">
      <alignment horizontal="center" vertical="center" wrapText="1"/>
      <protection locked="0"/>
    </xf>
    <xf numFmtId="0" fontId="0" fillId="19" borderId="1" xfId="0" applyFill="1" applyBorder="1" applyAlignment="1" applyProtection="1">
      <alignment horizontal="center"/>
      <protection locked="0"/>
    </xf>
    <xf numFmtId="10" fontId="0" fillId="17" borderId="1" xfId="0" applyNumberFormat="1" applyFill="1" applyBorder="1" applyAlignment="1">
      <alignment vertical="center"/>
    </xf>
    <xf numFmtId="0" fontId="0" fillId="17" borderId="1" xfId="0" applyFill="1" applyBorder="1" applyAlignment="1">
      <alignment horizontal="center" vertical="center" wrapText="1"/>
    </xf>
    <xf numFmtId="0" fontId="24" fillId="17" borderId="1" xfId="0" applyFont="1" applyFill="1" applyBorder="1" applyAlignment="1">
      <alignment horizontal="center" vertical="center" wrapText="1"/>
    </xf>
    <xf numFmtId="9" fontId="48" fillId="17" borderId="1" xfId="0" applyNumberFormat="1" applyFont="1" applyFill="1" applyBorder="1" applyAlignment="1">
      <alignment horizontal="center" vertical="center" wrapText="1"/>
    </xf>
    <xf numFmtId="0" fontId="24" fillId="11" borderId="0" xfId="0" applyFont="1" applyFill="1" applyAlignment="1">
      <alignment horizontal="left" vertical="center" wrapText="1"/>
    </xf>
    <xf numFmtId="166" fontId="0" fillId="0" borderId="0" xfId="0" applyNumberFormat="1"/>
    <xf numFmtId="0" fontId="0" fillId="17" borderId="1" xfId="0" applyFill="1" applyBorder="1" applyAlignment="1" applyProtection="1">
      <alignment horizontal="center" vertical="center" wrapText="1"/>
      <protection hidden="1"/>
    </xf>
    <xf numFmtId="0" fontId="47" fillId="0" borderId="0" xfId="0" applyFont="1" applyAlignment="1">
      <alignment horizontal="center" vertical="center" wrapText="1"/>
    </xf>
    <xf numFmtId="49" fontId="0" fillId="0" borderId="4" xfId="0" applyNumberFormat="1" applyBorder="1"/>
    <xf numFmtId="1" fontId="0" fillId="0" borderId="0" xfId="0" applyNumberFormat="1"/>
    <xf numFmtId="0" fontId="24" fillId="11" borderId="10" xfId="0" applyFont="1" applyFill="1" applyBorder="1" applyAlignment="1">
      <alignment horizontal="left" vertical="center" wrapText="1"/>
    </xf>
    <xf numFmtId="0" fontId="45" fillId="0" borderId="0" xfId="0" applyFont="1" applyAlignment="1">
      <alignment horizontal="left" vertical="center"/>
    </xf>
    <xf numFmtId="0" fontId="0" fillId="18" borderId="10" xfId="0" applyFill="1" applyBorder="1" applyAlignment="1" applyProtection="1">
      <alignment horizontal="center" vertical="center" wrapText="1"/>
      <protection locked="0"/>
    </xf>
    <xf numFmtId="0" fontId="0" fillId="4" borderId="0" xfId="0" applyFill="1" applyAlignment="1">
      <alignment horizontal="left" vertical="top"/>
    </xf>
    <xf numFmtId="0" fontId="26" fillId="0" borderId="0" xfId="0" applyFont="1" applyAlignment="1" applyProtection="1">
      <alignment horizontal="left" vertical="top" wrapText="1"/>
      <protection locked="0"/>
    </xf>
    <xf numFmtId="0" fontId="0" fillId="0" borderId="0" xfId="0" applyAlignment="1" applyProtection="1">
      <alignment horizontal="left" vertical="top" wrapText="1"/>
      <protection locked="0"/>
    </xf>
    <xf numFmtId="0" fontId="19" fillId="18" borderId="1" xfId="5" applyFill="1" applyBorder="1" applyAlignment="1" applyProtection="1">
      <alignment horizontal="center" vertical="center" wrapText="1"/>
      <protection locked="0"/>
    </xf>
    <xf numFmtId="0" fontId="19" fillId="18" borderId="10" xfId="5" applyFill="1" applyBorder="1" applyAlignment="1" applyProtection="1">
      <alignment horizontal="center" vertical="center" wrapText="1"/>
      <protection locked="0"/>
    </xf>
    <xf numFmtId="0" fontId="19" fillId="18" borderId="1" xfId="5" applyFill="1" applyBorder="1" applyAlignment="1" applyProtection="1">
      <alignment horizontal="left" vertical="center" wrapText="1"/>
      <protection locked="0"/>
    </xf>
    <xf numFmtId="0" fontId="26" fillId="18" borderId="1" xfId="0" applyFont="1" applyFill="1" applyBorder="1" applyAlignment="1" applyProtection="1">
      <alignment horizontal="center" vertical="center" wrapText="1"/>
      <protection locked="0"/>
    </xf>
    <xf numFmtId="0" fontId="24" fillId="11" borderId="10" xfId="0" applyFont="1" applyFill="1" applyBorder="1" applyAlignment="1">
      <alignment vertical="center" wrapText="1"/>
    </xf>
    <xf numFmtId="0" fontId="56" fillId="0" borderId="0" xfId="0" applyFont="1" applyAlignment="1">
      <alignment vertical="center" wrapText="1"/>
    </xf>
    <xf numFmtId="0" fontId="56" fillId="0" borderId="8" xfId="0" applyFont="1" applyBorder="1" applyAlignment="1">
      <alignment vertical="center" wrapText="1"/>
    </xf>
    <xf numFmtId="0" fontId="54" fillId="0" borderId="1" xfId="0" applyFont="1" applyBorder="1" applyAlignment="1">
      <alignment horizontal="center" vertical="center" wrapText="1"/>
    </xf>
    <xf numFmtId="0" fontId="0" fillId="0" borderId="1" xfId="0" applyBorder="1" applyAlignment="1">
      <alignment vertical="center"/>
    </xf>
    <xf numFmtId="0" fontId="56" fillId="0" borderId="0" xfId="0" applyFont="1" applyAlignment="1">
      <alignment horizontal="left" vertical="center" wrapText="1"/>
    </xf>
    <xf numFmtId="0" fontId="0" fillId="0" borderId="13" xfId="0" applyBorder="1" applyAlignment="1">
      <alignment vertical="center"/>
    </xf>
    <xf numFmtId="0" fontId="0" fillId="0" borderId="13" xfId="0" applyBorder="1" applyAlignment="1">
      <alignment vertical="center" wrapText="1"/>
    </xf>
    <xf numFmtId="2" fontId="55" fillId="0" borderId="1" xfId="0" applyNumberFormat="1" applyFont="1" applyBorder="1" applyAlignment="1">
      <alignment horizontal="center" vertical="center"/>
    </xf>
    <xf numFmtId="0" fontId="54" fillId="0" borderId="1" xfId="0" applyFont="1" applyBorder="1" applyAlignment="1">
      <alignment vertical="center" wrapText="1"/>
    </xf>
    <xf numFmtId="0" fontId="0" fillId="0" borderId="1" xfId="0" applyBorder="1" applyAlignment="1">
      <alignment horizontal="left" vertical="center"/>
    </xf>
    <xf numFmtId="0" fontId="59" fillId="0" borderId="1" xfId="0" applyFont="1" applyBorder="1" applyAlignment="1">
      <alignment horizontal="left" vertical="center"/>
    </xf>
    <xf numFmtId="0" fontId="54" fillId="0" borderId="1" xfId="0" applyFont="1" applyBorder="1" applyAlignment="1">
      <alignment vertical="center"/>
    </xf>
    <xf numFmtId="0" fontId="60" fillId="0" borderId="1" xfId="0" applyFont="1" applyBorder="1" applyAlignment="1">
      <alignment vertical="center" wrapText="1"/>
    </xf>
    <xf numFmtId="0" fontId="0" fillId="0" borderId="1" xfId="0" applyBorder="1" applyAlignment="1">
      <alignment horizontal="center" vertical="center"/>
    </xf>
    <xf numFmtId="0" fontId="54" fillId="24" borderId="4" xfId="0" applyFont="1" applyFill="1" applyBorder="1" applyAlignment="1">
      <alignment horizontal="center" vertical="center" wrapText="1"/>
    </xf>
    <xf numFmtId="0" fontId="54" fillId="25" borderId="1" xfId="0" applyFont="1" applyFill="1" applyBorder="1" applyAlignment="1" applyProtection="1">
      <alignment horizontal="left" vertical="center" wrapText="1"/>
      <protection locked="0"/>
    </xf>
    <xf numFmtId="0" fontId="54" fillId="24" borderId="4" xfId="0" applyFont="1" applyFill="1" applyBorder="1" applyAlignment="1">
      <alignment horizontal="center" vertical="top" wrapText="1"/>
    </xf>
    <xf numFmtId="0" fontId="54" fillId="24" borderId="4" xfId="0" applyFont="1" applyFill="1" applyBorder="1" applyAlignment="1">
      <alignment horizontal="left" vertical="center" wrapText="1"/>
    </xf>
    <xf numFmtId="0" fontId="54" fillId="25" borderId="1" xfId="0" applyFont="1" applyFill="1" applyBorder="1" applyAlignment="1">
      <alignment horizontal="center" vertical="center" wrapText="1"/>
    </xf>
    <xf numFmtId="0" fontId="54" fillId="24" borderId="4" xfId="0" applyFont="1" applyFill="1" applyBorder="1" applyAlignment="1">
      <alignment horizontal="center" vertical="center"/>
    </xf>
    <xf numFmtId="0" fontId="54" fillId="24" borderId="4" xfId="0" applyFont="1" applyFill="1" applyBorder="1" applyAlignment="1">
      <alignment horizontal="left" vertical="center"/>
    </xf>
    <xf numFmtId="168" fontId="54" fillId="24" borderId="1" xfId="0" applyNumberFormat="1" applyFont="1" applyFill="1" applyBorder="1" applyAlignment="1">
      <alignment horizontal="center" vertical="center" wrapText="1"/>
    </xf>
    <xf numFmtId="0" fontId="54" fillId="25" borderId="1" xfId="0" applyFont="1" applyFill="1" applyBorder="1" applyAlignment="1" applyProtection="1">
      <alignment horizontal="center" vertical="center" wrapText="1"/>
      <protection locked="0"/>
    </xf>
    <xf numFmtId="2" fontId="54" fillId="24" borderId="1" xfId="0" applyNumberFormat="1" applyFont="1" applyFill="1" applyBorder="1" applyAlignment="1">
      <alignment horizontal="center" vertical="center" wrapText="1"/>
    </xf>
    <xf numFmtId="0" fontId="54" fillId="24" borderId="3" xfId="0" applyFont="1" applyFill="1" applyBorder="1" applyAlignment="1">
      <alignment horizontal="left" vertical="center" wrapText="1"/>
    </xf>
    <xf numFmtId="0" fontId="58" fillId="24" borderId="5" xfId="0" applyFont="1" applyFill="1" applyBorder="1" applyAlignment="1">
      <alignment horizontal="center" vertical="center" wrapText="1"/>
    </xf>
    <xf numFmtId="0" fontId="24" fillId="12" borderId="10" xfId="0" applyFont="1" applyFill="1" applyBorder="1" applyAlignment="1">
      <alignment horizontal="center" vertical="center" wrapText="1"/>
    </xf>
    <xf numFmtId="0" fontId="54" fillId="0" borderId="8" xfId="0" applyFont="1" applyBorder="1" applyAlignment="1">
      <alignment vertical="center" wrapText="1"/>
    </xf>
    <xf numFmtId="0" fontId="0" fillId="0" borderId="8" xfId="0" applyBorder="1" applyAlignment="1">
      <alignment horizontal="center" vertical="center"/>
    </xf>
    <xf numFmtId="0" fontId="0" fillId="0" borderId="13" xfId="0" applyBorder="1" applyAlignment="1">
      <alignment horizontal="center" vertical="center"/>
    </xf>
    <xf numFmtId="3" fontId="28" fillId="14" borderId="20" xfId="0" applyNumberFormat="1" applyFont="1" applyFill="1" applyBorder="1" applyAlignment="1" applyProtection="1">
      <alignment horizontal="center" vertical="center" wrapText="1"/>
      <protection locked="0"/>
    </xf>
    <xf numFmtId="0" fontId="0" fillId="14" borderId="1" xfId="0" applyFill="1" applyBorder="1" applyAlignment="1" applyProtection="1">
      <alignment horizontal="center" vertical="center" wrapText="1"/>
      <protection locked="0"/>
    </xf>
    <xf numFmtId="169" fontId="54" fillId="24" borderId="4" xfId="0" applyNumberFormat="1" applyFont="1" applyFill="1" applyBorder="1" applyAlignment="1">
      <alignment horizontal="center" vertical="center" wrapText="1"/>
    </xf>
    <xf numFmtId="170" fontId="54" fillId="25" borderId="1" xfId="0" applyNumberFormat="1" applyFont="1" applyFill="1" applyBorder="1" applyAlignment="1">
      <alignment horizontal="center" vertical="center" wrapText="1"/>
    </xf>
    <xf numFmtId="22" fontId="0" fillId="0" borderId="0" xfId="0" applyNumberFormat="1" applyAlignment="1">
      <alignment vertical="center"/>
    </xf>
    <xf numFmtId="168" fontId="0" fillId="0" borderId="0" xfId="0" applyNumberFormat="1" applyAlignment="1">
      <alignment horizontal="left" vertical="center"/>
    </xf>
    <xf numFmtId="0" fontId="0" fillId="28" borderId="0" xfId="0" applyFill="1"/>
    <xf numFmtId="0" fontId="0" fillId="28" borderId="0" xfId="0" applyFill="1" applyAlignment="1">
      <alignment wrapText="1"/>
    </xf>
    <xf numFmtId="0" fontId="0" fillId="28" borderId="0" xfId="0" applyFill="1" applyAlignment="1">
      <alignment horizontal="center" vertical="center"/>
    </xf>
    <xf numFmtId="0" fontId="0" fillId="28" borderId="0" xfId="0" applyFill="1" applyAlignment="1">
      <alignment horizontal="left" wrapText="1"/>
    </xf>
    <xf numFmtId="0" fontId="0" fillId="28" borderId="0" xfId="0" applyFill="1" applyAlignment="1">
      <alignment vertical="top" wrapText="1"/>
    </xf>
    <xf numFmtId="0" fontId="0" fillId="28" borderId="0" xfId="0" applyFill="1" applyAlignment="1">
      <alignment horizontal="center" vertical="center" wrapText="1"/>
    </xf>
    <xf numFmtId="0" fontId="0" fillId="28" borderId="0" xfId="0" applyFill="1" applyAlignment="1">
      <alignment horizontal="center" wrapText="1"/>
    </xf>
    <xf numFmtId="0" fontId="42" fillId="28" borderId="0" xfId="0" applyFont="1" applyFill="1" applyAlignment="1">
      <alignment horizontal="left" vertical="center" wrapText="1"/>
    </xf>
    <xf numFmtId="0" fontId="0" fillId="28" borderId="8" xfId="0" applyFill="1" applyBorder="1" applyAlignment="1">
      <alignment wrapText="1"/>
    </xf>
    <xf numFmtId="0" fontId="0" fillId="28" borderId="9" xfId="0" applyFill="1" applyBorder="1" applyAlignment="1">
      <alignment wrapText="1"/>
    </xf>
    <xf numFmtId="0" fontId="54" fillId="25" borderId="10" xfId="0" applyFont="1" applyFill="1" applyBorder="1" applyAlignment="1" applyProtection="1">
      <alignment vertical="center" wrapText="1"/>
      <protection locked="0"/>
    </xf>
    <xf numFmtId="0" fontId="56" fillId="0" borderId="1" xfId="0" applyFont="1" applyBorder="1" applyAlignment="1">
      <alignment vertical="center" wrapText="1"/>
    </xf>
    <xf numFmtId="0" fontId="54" fillId="0" borderId="0" xfId="0" applyFont="1" applyAlignment="1">
      <alignment horizontal="center" vertical="center" wrapText="1"/>
    </xf>
    <xf numFmtId="0" fontId="54" fillId="25" borderId="1" xfId="0" applyFont="1" applyFill="1" applyBorder="1" applyAlignment="1">
      <alignment vertical="center" wrapText="1"/>
    </xf>
    <xf numFmtId="0" fontId="59" fillId="0" borderId="1" xfId="0" applyFont="1" applyBorder="1" applyAlignment="1">
      <alignment vertical="center"/>
    </xf>
    <xf numFmtId="168" fontId="54" fillId="24" borderId="4" xfId="0" applyNumberFormat="1" applyFont="1" applyFill="1" applyBorder="1" applyAlignment="1">
      <alignment horizontal="center" vertical="top" wrapText="1"/>
    </xf>
    <xf numFmtId="0" fontId="54" fillId="24" borderId="5" xfId="0" applyFont="1" applyFill="1" applyBorder="1" applyAlignment="1">
      <alignment horizontal="center" vertical="top" wrapText="1"/>
    </xf>
    <xf numFmtId="0" fontId="0" fillId="14" borderId="1" xfId="0" applyFill="1" applyBorder="1" applyAlignment="1">
      <alignment horizontal="left" vertical="center" wrapText="1"/>
    </xf>
    <xf numFmtId="0" fontId="0" fillId="14" borderId="1" xfId="0" applyFill="1" applyBorder="1" applyAlignment="1">
      <alignment horizontal="center" vertical="center" wrapText="1"/>
    </xf>
    <xf numFmtId="0" fontId="54" fillId="24" borderId="1" xfId="0" applyFont="1" applyFill="1" applyBorder="1" applyAlignment="1">
      <alignment vertical="center" wrapText="1"/>
    </xf>
    <xf numFmtId="0" fontId="54" fillId="24" borderId="1" xfId="0" applyFont="1" applyFill="1" applyBorder="1" applyAlignment="1">
      <alignment vertical="center"/>
    </xf>
    <xf numFmtId="0" fontId="0" fillId="11" borderId="15" xfId="0" applyFill="1" applyBorder="1" applyAlignment="1">
      <alignment horizontal="center" vertical="center" wrapText="1"/>
    </xf>
    <xf numFmtId="0" fontId="54" fillId="24" borderId="1" xfId="0" applyFont="1" applyFill="1" applyBorder="1" applyAlignment="1">
      <alignment horizontal="center" vertical="center" wrapText="1"/>
    </xf>
    <xf numFmtId="0" fontId="60" fillId="24" borderId="1" xfId="0" applyFont="1" applyFill="1" applyBorder="1" applyAlignment="1">
      <alignment horizontal="center" vertical="center" wrapText="1"/>
    </xf>
    <xf numFmtId="0" fontId="54" fillId="24" borderId="4" xfId="0" applyFont="1" applyFill="1" applyBorder="1" applyAlignment="1">
      <alignment vertical="center" wrapText="1"/>
    </xf>
    <xf numFmtId="0" fontId="70" fillId="24" borderId="4" xfId="0" applyFont="1" applyFill="1" applyBorder="1" applyAlignment="1">
      <alignment vertical="center" wrapText="1"/>
    </xf>
    <xf numFmtId="0" fontId="0" fillId="28" borderId="0" xfId="0" applyFill="1" applyAlignment="1">
      <alignment horizontal="center"/>
    </xf>
    <xf numFmtId="0" fontId="0" fillId="28" borderId="0" xfId="0" applyFill="1" applyAlignment="1">
      <alignment vertical="center"/>
    </xf>
    <xf numFmtId="0" fontId="22" fillId="24" borderId="4" xfId="3" applyFill="1" applyBorder="1" applyAlignment="1">
      <alignment horizontal="center" vertical="center" wrapText="1"/>
    </xf>
    <xf numFmtId="0" fontId="0" fillId="28" borderId="0" xfId="0" applyFill="1" applyAlignment="1">
      <alignment horizontal="center" vertical="top"/>
    </xf>
    <xf numFmtId="0" fontId="0" fillId="28" borderId="0" xfId="0" applyFill="1" applyAlignment="1">
      <alignment vertical="center" wrapText="1"/>
    </xf>
    <xf numFmtId="0" fontId="72" fillId="24" borderId="4" xfId="0" applyFont="1" applyFill="1" applyBorder="1" applyAlignment="1">
      <alignment horizontal="center" vertical="center" wrapText="1"/>
    </xf>
    <xf numFmtId="0" fontId="72" fillId="24" borderId="6" xfId="0" applyFont="1" applyFill="1" applyBorder="1" applyAlignment="1">
      <alignment horizontal="center" vertical="center" wrapText="1"/>
    </xf>
    <xf numFmtId="0" fontId="72" fillId="24" borderId="12" xfId="0" applyFont="1" applyFill="1" applyBorder="1" applyAlignment="1">
      <alignment horizontal="center" vertical="center" wrapText="1"/>
    </xf>
    <xf numFmtId="0" fontId="70" fillId="24" borderId="4" xfId="0" applyFont="1" applyFill="1" applyBorder="1" applyAlignment="1">
      <alignment horizontal="center" vertical="center" wrapText="1"/>
    </xf>
    <xf numFmtId="0" fontId="73" fillId="24" borderId="4" xfId="0" applyFont="1" applyFill="1" applyBorder="1" applyAlignment="1">
      <alignment horizontal="left" vertical="center" wrapText="1"/>
    </xf>
    <xf numFmtId="0" fontId="19" fillId="18" borderId="1" xfId="5" applyFill="1" applyBorder="1" applyAlignment="1">
      <alignment horizontal="left" vertical="center" wrapText="1"/>
    </xf>
    <xf numFmtId="0" fontId="74" fillId="7" borderId="0" xfId="0" applyFont="1" applyFill="1" applyAlignment="1">
      <alignment horizontal="center" vertical="center" wrapText="1"/>
    </xf>
    <xf numFmtId="0" fontId="26" fillId="18" borderId="1" xfId="0" applyFont="1" applyFill="1" applyBorder="1" applyAlignment="1">
      <alignment horizontal="center" vertical="center" wrapText="1"/>
    </xf>
    <xf numFmtId="0" fontId="75" fillId="0" borderId="0" xfId="0" applyFont="1" applyAlignment="1">
      <alignment horizontal="left" vertical="center" wrapText="1"/>
    </xf>
    <xf numFmtId="0" fontId="33" fillId="0" borderId="0" xfId="0" applyFont="1" applyAlignment="1">
      <alignment horizontal="left" vertical="center"/>
    </xf>
    <xf numFmtId="0" fontId="75" fillId="0" borderId="0" xfId="0" applyFont="1" applyAlignment="1">
      <alignment horizontal="center" vertical="center" wrapText="1"/>
    </xf>
    <xf numFmtId="0" fontId="0" fillId="28" borderId="0" xfId="0" quotePrefix="1" applyFill="1" applyAlignment="1">
      <alignment horizontal="center" vertical="center" wrapText="1"/>
    </xf>
    <xf numFmtId="0" fontId="0" fillId="0" borderId="0" xfId="0" quotePrefix="1" applyAlignment="1">
      <alignment vertical="center"/>
    </xf>
    <xf numFmtId="0" fontId="54" fillId="0" borderId="0" xfId="0" applyFont="1" applyAlignment="1">
      <alignment vertical="center" wrapText="1"/>
    </xf>
    <xf numFmtId="0" fontId="77" fillId="0" borderId="0" xfId="0" applyFont="1" applyAlignment="1">
      <alignment vertical="center" wrapText="1"/>
    </xf>
    <xf numFmtId="0" fontId="75" fillId="0" borderId="0" xfId="0" applyFont="1" applyAlignment="1">
      <alignment horizontal="center" vertical="center"/>
    </xf>
    <xf numFmtId="0" fontId="54" fillId="25" borderId="0" xfId="0" applyFont="1" applyFill="1" applyAlignment="1">
      <alignment horizontal="center" vertical="center" wrapText="1"/>
    </xf>
    <xf numFmtId="0" fontId="22" fillId="0" borderId="0" xfId="3" applyFill="1" applyBorder="1" applyAlignment="1">
      <alignment horizontal="left" vertical="center" wrapText="1"/>
    </xf>
    <xf numFmtId="0" fontId="54" fillId="31" borderId="1" xfId="0" applyFont="1" applyFill="1" applyBorder="1" applyAlignment="1">
      <alignment horizontal="center" vertical="center" wrapText="1"/>
    </xf>
    <xf numFmtId="0" fontId="70" fillId="24" borderId="1" xfId="0" applyFont="1" applyFill="1" applyBorder="1" applyAlignment="1">
      <alignment vertical="center" wrapText="1"/>
    </xf>
    <xf numFmtId="0" fontId="77" fillId="0" borderId="0" xfId="0" applyFont="1" applyAlignment="1">
      <alignment horizontal="center" vertical="center"/>
    </xf>
    <xf numFmtId="9" fontId="78" fillId="0" borderId="0" xfId="7" applyFont="1" applyFill="1" applyBorder="1" applyAlignment="1">
      <alignment horizontal="left" vertical="center"/>
    </xf>
    <xf numFmtId="0" fontId="77" fillId="0" borderId="0" xfId="0" applyFont="1" applyAlignment="1">
      <alignment horizontal="center" vertical="center" wrapText="1"/>
    </xf>
    <xf numFmtId="0" fontId="24" fillId="11" borderId="1" xfId="0" applyFont="1" applyFill="1" applyBorder="1" applyAlignment="1">
      <alignment vertical="center" wrapText="1"/>
    </xf>
    <xf numFmtId="1" fontId="0" fillId="19" borderId="21" xfId="0" applyNumberFormat="1" applyFill="1" applyBorder="1" applyAlignment="1" applyProtection="1">
      <alignment horizontal="center" vertical="center"/>
      <protection locked="0"/>
    </xf>
    <xf numFmtId="0" fontId="0" fillId="19" borderId="1" xfId="0" applyFill="1" applyBorder="1" applyAlignment="1" applyProtection="1">
      <alignment horizontal="left" vertical="center" wrapText="1"/>
      <protection locked="0"/>
    </xf>
    <xf numFmtId="1" fontId="0" fillId="19" borderId="7" xfId="0" applyNumberFormat="1" applyFill="1" applyBorder="1" applyAlignment="1" applyProtection="1">
      <alignment horizontal="center" vertical="center"/>
      <protection locked="0"/>
    </xf>
    <xf numFmtId="1" fontId="0" fillId="19" borderId="14" xfId="0" applyNumberFormat="1" applyFill="1" applyBorder="1" applyAlignment="1" applyProtection="1">
      <alignment horizontal="center" vertical="center"/>
      <protection locked="0"/>
    </xf>
    <xf numFmtId="165" fontId="0" fillId="19" borderId="21" xfId="0" applyNumberFormat="1" applyFill="1" applyBorder="1" applyAlignment="1" applyProtection="1">
      <alignment horizontal="left" vertical="center"/>
      <protection locked="0"/>
    </xf>
    <xf numFmtId="0" fontId="24" fillId="0" borderId="1" xfId="0" applyFont="1" applyBorder="1" applyAlignment="1">
      <alignment horizontal="left" vertical="center" wrapText="1"/>
    </xf>
    <xf numFmtId="0" fontId="77" fillId="0" borderId="0" xfId="0" applyFont="1" applyAlignment="1">
      <alignment wrapText="1"/>
    </xf>
    <xf numFmtId="1" fontId="0" fillId="19" borderId="1" xfId="0" applyNumberFormat="1" applyFill="1" applyBorder="1" applyAlignment="1" applyProtection="1">
      <alignment vertical="center"/>
      <protection locked="0"/>
    </xf>
    <xf numFmtId="1" fontId="0" fillId="19" borderId="1" xfId="0" applyNumberFormat="1" applyFill="1" applyBorder="1" applyAlignment="1" applyProtection="1">
      <alignment horizontal="left" vertical="center"/>
      <protection locked="0"/>
    </xf>
    <xf numFmtId="0" fontId="22" fillId="0" borderId="0" xfId="3" applyFill="1" applyAlignment="1">
      <alignment wrapText="1"/>
    </xf>
    <xf numFmtId="0" fontId="77" fillId="0" borderId="0" xfId="0" applyFont="1" applyAlignment="1">
      <alignment vertical="center"/>
    </xf>
    <xf numFmtId="14" fontId="0" fillId="19" borderId="21" xfId="0" applyNumberFormat="1" applyFill="1" applyBorder="1" applyAlignment="1" applyProtection="1">
      <alignment horizontal="center" vertical="center"/>
      <protection locked="0"/>
    </xf>
    <xf numFmtId="14" fontId="54" fillId="24" borderId="4" xfId="0" applyNumberFormat="1" applyFont="1" applyFill="1" applyBorder="1" applyAlignment="1">
      <alignment horizontal="center" vertical="center" wrapText="1"/>
    </xf>
    <xf numFmtId="0" fontId="22" fillId="0" borderId="0" xfId="3"/>
    <xf numFmtId="0" fontId="79" fillId="0" borderId="0" xfId="0" applyFont="1"/>
    <xf numFmtId="0" fontId="0" fillId="19" borderId="1" xfId="0" applyFill="1" applyBorder="1" applyAlignment="1" applyProtection="1">
      <alignment vertical="center" wrapText="1"/>
      <protection locked="0"/>
    </xf>
    <xf numFmtId="0" fontId="0" fillId="0" borderId="0" xfId="0" applyAlignment="1">
      <alignment vertical="top"/>
    </xf>
    <xf numFmtId="2" fontId="0" fillId="0" borderId="0" xfId="0" applyNumberFormat="1" applyAlignment="1">
      <alignment wrapText="1"/>
    </xf>
    <xf numFmtId="171" fontId="0" fillId="32" borderId="21" xfId="0" applyNumberFormat="1" applyFill="1" applyBorder="1" applyAlignment="1">
      <alignment horizontal="left" vertical="center"/>
    </xf>
    <xf numFmtId="1" fontId="0" fillId="14" borderId="1" xfId="0" applyNumberFormat="1" applyFill="1" applyBorder="1" applyAlignment="1" applyProtection="1">
      <alignment horizontal="center" vertical="center" wrapText="1"/>
      <protection locked="0"/>
    </xf>
    <xf numFmtId="0" fontId="0" fillId="28" borderId="0" xfId="0" applyFill="1" applyAlignment="1">
      <alignment horizontal="left" vertical="top" wrapText="1"/>
    </xf>
    <xf numFmtId="0" fontId="0" fillId="18" borderId="15" xfId="0" applyFill="1" applyBorder="1" applyAlignment="1" applyProtection="1">
      <alignment horizontal="center" vertical="center" wrapText="1"/>
      <protection locked="0"/>
    </xf>
    <xf numFmtId="0" fontId="19" fillId="18" borderId="4" xfId="5" applyFill="1" applyBorder="1" applyAlignment="1" applyProtection="1">
      <alignment horizontal="center" vertical="center" wrapText="1"/>
      <protection locked="0"/>
    </xf>
    <xf numFmtId="0" fontId="19" fillId="18" borderId="3" xfId="5" applyFill="1" applyBorder="1" applyAlignment="1" applyProtection="1">
      <alignment horizontal="center" vertical="center" wrapText="1"/>
      <protection locked="0"/>
    </xf>
    <xf numFmtId="0" fontId="19" fillId="18" borderId="5" xfId="5" applyFill="1" applyBorder="1" applyAlignment="1" applyProtection="1">
      <alignment horizontal="center" vertical="center" wrapText="1"/>
      <protection locked="0"/>
    </xf>
    <xf numFmtId="0" fontId="24" fillId="12" borderId="4" xfId="0" applyFont="1" applyFill="1" applyBorder="1" applyAlignment="1">
      <alignment horizontal="center" vertical="center" wrapText="1"/>
    </xf>
    <xf numFmtId="0" fontId="24" fillId="12" borderId="5" xfId="0" applyFont="1" applyFill="1" applyBorder="1" applyAlignment="1">
      <alignment horizontal="center" vertical="center" wrapText="1"/>
    </xf>
    <xf numFmtId="0" fontId="24" fillId="12" borderId="6" xfId="0" applyFont="1" applyFill="1" applyBorder="1" applyAlignment="1">
      <alignment horizontal="center" vertical="center" wrapText="1"/>
    </xf>
    <xf numFmtId="0" fontId="24" fillId="12" borderId="7" xfId="0" applyFont="1" applyFill="1" applyBorder="1" applyAlignment="1">
      <alignment horizontal="center" vertical="center" wrapText="1"/>
    </xf>
    <xf numFmtId="0" fontId="24" fillId="12" borderId="16" xfId="0" applyFont="1" applyFill="1" applyBorder="1" applyAlignment="1">
      <alignment horizontal="center" vertical="center" wrapText="1"/>
    </xf>
    <xf numFmtId="0" fontId="19" fillId="18" borderId="4" xfId="5" applyFill="1" applyBorder="1" applyAlignment="1" applyProtection="1">
      <alignment horizontal="left" vertical="center" wrapText="1"/>
      <protection locked="0"/>
    </xf>
    <xf numFmtId="0" fontId="19" fillId="18" borderId="16" xfId="5" applyFill="1" applyBorder="1" applyAlignment="1" applyProtection="1">
      <alignment horizontal="center" vertical="center" wrapText="1"/>
      <protection locked="0"/>
    </xf>
    <xf numFmtId="0" fontId="19" fillId="18" borderId="12" xfId="5" applyFill="1" applyBorder="1" applyAlignment="1" applyProtection="1">
      <alignment horizontal="left" vertical="center" wrapText="1"/>
      <protection locked="0"/>
    </xf>
    <xf numFmtId="0" fontId="19" fillId="18" borderId="13" xfId="5" applyFill="1" applyBorder="1" applyAlignment="1" applyProtection="1">
      <alignment horizontal="left" vertical="center" wrapText="1"/>
      <protection locked="0"/>
    </xf>
    <xf numFmtId="0" fontId="19" fillId="18" borderId="14" xfId="5" applyFill="1" applyBorder="1" applyAlignment="1" applyProtection="1">
      <alignment horizontal="left" vertical="center" wrapText="1"/>
      <protection locked="0"/>
    </xf>
    <xf numFmtId="0" fontId="19" fillId="18" borderId="15" xfId="5" applyFill="1" applyBorder="1" applyAlignment="1" applyProtection="1">
      <alignment horizontal="center" vertical="center" wrapText="1"/>
      <protection locked="0"/>
    </xf>
    <xf numFmtId="0" fontId="19" fillId="18" borderId="10" xfId="5" applyFill="1" applyBorder="1" applyAlignment="1">
      <alignment horizontal="center" vertical="center" wrapText="1"/>
    </xf>
    <xf numFmtId="0" fontId="24" fillId="12" borderId="14" xfId="0" applyFont="1" applyFill="1" applyBorder="1" applyAlignment="1">
      <alignment horizontal="center" vertical="center" wrapText="1"/>
    </xf>
    <xf numFmtId="0" fontId="24" fillId="12" borderId="2" xfId="0" applyFont="1" applyFill="1" applyBorder="1" applyAlignment="1">
      <alignment horizontal="center" vertical="center" wrapText="1"/>
    </xf>
    <xf numFmtId="0" fontId="24" fillId="12" borderId="3" xfId="0" applyFont="1" applyFill="1" applyBorder="1" applyAlignment="1">
      <alignment horizontal="center" vertical="center" wrapText="1"/>
    </xf>
    <xf numFmtId="0" fontId="0" fillId="18" borderId="8" xfId="0" applyFill="1" applyBorder="1" applyAlignment="1" applyProtection="1">
      <alignment horizontal="center" vertical="center" wrapText="1"/>
      <protection locked="0"/>
    </xf>
    <xf numFmtId="0" fontId="0" fillId="18" borderId="6" xfId="0" applyFill="1" applyBorder="1" applyAlignment="1" applyProtection="1">
      <alignment horizontal="center" vertical="center" wrapText="1"/>
      <protection locked="0"/>
    </xf>
    <xf numFmtId="0" fontId="0" fillId="18" borderId="4" xfId="0" applyFill="1" applyBorder="1" applyAlignment="1" applyProtection="1">
      <alignment horizontal="center" vertical="center" wrapText="1"/>
      <protection locked="0"/>
    </xf>
    <xf numFmtId="0" fontId="83" fillId="4" borderId="0" xfId="0" applyFont="1" applyFill="1" applyAlignment="1">
      <alignment horizontal="center"/>
    </xf>
    <xf numFmtId="0" fontId="56" fillId="0" borderId="8" xfId="0" applyFont="1" applyBorder="1" applyAlignment="1">
      <alignment horizontal="left" vertical="center" wrapText="1"/>
    </xf>
    <xf numFmtId="0" fontId="82" fillId="0" borderId="0" xfId="19"/>
    <xf numFmtId="0" fontId="85" fillId="0" borderId="1" xfId="19" applyFont="1" applyBorder="1" applyAlignment="1">
      <alignment horizontal="center" vertical="center"/>
    </xf>
    <xf numFmtId="0" fontId="86" fillId="0" borderId="30" xfId="19" applyFont="1" applyBorder="1" applyAlignment="1">
      <alignment horizontal="left" vertical="center" wrapText="1"/>
    </xf>
    <xf numFmtId="0" fontId="87" fillId="7" borderId="32" xfId="19" applyFont="1" applyFill="1" applyBorder="1" applyAlignment="1">
      <alignment vertical="center"/>
    </xf>
    <xf numFmtId="0" fontId="86" fillId="7" borderId="33" xfId="19" applyFont="1" applyFill="1" applyBorder="1" applyAlignment="1">
      <alignment horizontal="left" vertical="center" wrapText="1"/>
    </xf>
    <xf numFmtId="0" fontId="88" fillId="0" borderId="0" xfId="19" applyFont="1" applyAlignment="1">
      <alignment vertical="center"/>
    </xf>
    <xf numFmtId="0" fontId="88" fillId="0" borderId="0" xfId="19" applyFont="1" applyAlignment="1">
      <alignment horizontal="center" vertical="center"/>
    </xf>
    <xf numFmtId="0" fontId="82" fillId="0" borderId="0" xfId="19" applyAlignment="1">
      <alignment vertical="center"/>
    </xf>
    <xf numFmtId="0" fontId="89" fillId="0" borderId="0" xfId="19" applyFont="1"/>
    <xf numFmtId="0" fontId="82" fillId="0" borderId="0" xfId="19" applyAlignment="1">
      <alignment horizontal="center" vertical="center"/>
    </xf>
    <xf numFmtId="0" fontId="90" fillId="0" borderId="10" xfId="19" applyFont="1" applyBorder="1" applyAlignment="1" applyProtection="1">
      <alignment wrapText="1"/>
      <protection locked="0"/>
    </xf>
    <xf numFmtId="0" fontId="90" fillId="28" borderId="10" xfId="19" applyFont="1" applyFill="1" applyBorder="1"/>
    <xf numFmtId="0" fontId="82" fillId="0" borderId="1" xfId="19" applyBorder="1" applyProtection="1">
      <protection locked="0"/>
    </xf>
    <xf numFmtId="0" fontId="90" fillId="0" borderId="0" xfId="19" applyFont="1"/>
    <xf numFmtId="14" fontId="90" fillId="33" borderId="10" xfId="19" applyNumberFormat="1" applyFont="1" applyFill="1" applyBorder="1" applyProtection="1">
      <protection locked="0"/>
    </xf>
    <xf numFmtId="0" fontId="90" fillId="28" borderId="10" xfId="19" applyFont="1" applyFill="1" applyBorder="1" applyAlignment="1">
      <alignment wrapText="1"/>
    </xf>
    <xf numFmtId="0" fontId="82" fillId="33" borderId="1" xfId="19" applyFill="1" applyBorder="1" applyProtection="1">
      <protection locked="0"/>
    </xf>
    <xf numFmtId="0" fontId="90" fillId="33" borderId="10" xfId="19" applyFont="1" applyFill="1" applyBorder="1" applyProtection="1">
      <protection locked="0"/>
    </xf>
    <xf numFmtId="0" fontId="90" fillId="25" borderId="35" xfId="19" applyFont="1" applyFill="1" applyBorder="1" applyAlignment="1">
      <alignment horizontal="center" vertical="center" wrapText="1"/>
    </xf>
    <xf numFmtId="0" fontId="90" fillId="25" borderId="36" xfId="19" applyFont="1" applyFill="1" applyBorder="1" applyAlignment="1">
      <alignment horizontal="center" vertical="center" wrapText="1"/>
    </xf>
    <xf numFmtId="0" fontId="90" fillId="0" borderId="0" xfId="19" applyFont="1" applyAlignment="1">
      <alignment vertical="center"/>
    </xf>
    <xf numFmtId="172" fontId="90" fillId="33" borderId="18" xfId="19" applyNumberFormat="1" applyFont="1" applyFill="1" applyBorder="1" applyAlignment="1" applyProtection="1">
      <alignment horizontal="center" vertical="center"/>
      <protection locked="0"/>
    </xf>
    <xf numFmtId="1" fontId="90" fillId="33" borderId="28" xfId="19" applyNumberFormat="1" applyFont="1" applyFill="1" applyBorder="1" applyAlignment="1" applyProtection="1">
      <alignment horizontal="center" vertical="center"/>
      <protection locked="0"/>
    </xf>
    <xf numFmtId="172" fontId="90" fillId="33" borderId="1" xfId="19" applyNumberFormat="1" applyFont="1" applyFill="1" applyBorder="1" applyAlignment="1" applyProtection="1">
      <alignment horizontal="center" vertical="center"/>
      <protection locked="0"/>
    </xf>
    <xf numFmtId="1" fontId="90" fillId="33" borderId="30" xfId="19" applyNumberFormat="1" applyFont="1" applyFill="1" applyBorder="1" applyAlignment="1" applyProtection="1">
      <alignment horizontal="center" vertical="center"/>
      <protection locked="0"/>
    </xf>
    <xf numFmtId="0" fontId="90" fillId="34" borderId="30" xfId="19" applyFont="1" applyFill="1" applyBorder="1"/>
    <xf numFmtId="172" fontId="90" fillId="33" borderId="32" xfId="19" applyNumberFormat="1" applyFont="1" applyFill="1" applyBorder="1" applyAlignment="1" applyProtection="1">
      <alignment horizontal="center" vertical="center"/>
      <protection locked="0"/>
    </xf>
    <xf numFmtId="0" fontId="90" fillId="34" borderId="33" xfId="19" applyFont="1" applyFill="1" applyBorder="1"/>
    <xf numFmtId="0" fontId="91" fillId="0" borderId="0" xfId="19" applyFont="1"/>
    <xf numFmtId="0" fontId="90" fillId="25" borderId="37" xfId="19" applyFont="1" applyFill="1" applyBorder="1" applyAlignment="1">
      <alignment horizontal="center" vertical="center" wrapText="1"/>
    </xf>
    <xf numFmtId="0" fontId="90" fillId="25" borderId="38" xfId="19" applyFont="1" applyFill="1" applyBorder="1" applyAlignment="1">
      <alignment horizontal="center" vertical="center" wrapText="1"/>
    </xf>
    <xf numFmtId="0" fontId="90" fillId="0" borderId="0" xfId="19" applyFont="1" applyAlignment="1">
      <alignment horizontal="center" vertical="center"/>
    </xf>
    <xf numFmtId="173" fontId="82" fillId="0" borderId="1" xfId="20" applyNumberFormat="1" applyBorder="1" applyAlignment="1">
      <alignment horizontal="right"/>
    </xf>
    <xf numFmtId="173" fontId="82" fillId="0" borderId="1" xfId="20" applyNumberFormat="1" applyBorder="1" applyAlignment="1">
      <alignment horizontal="center"/>
    </xf>
    <xf numFmtId="0" fontId="90" fillId="35" borderId="20" xfId="20" applyFont="1" applyFill="1" applyBorder="1" applyAlignment="1">
      <alignment horizontal="center" vertical="center" wrapText="1"/>
    </xf>
    <xf numFmtId="43" fontId="90" fillId="8" borderId="42" xfId="23" applyFont="1" applyFill="1" applyBorder="1" applyAlignment="1">
      <alignment horizontal="center" vertical="center"/>
    </xf>
    <xf numFmtId="168" fontId="90" fillId="0" borderId="0" xfId="19" applyNumberFormat="1" applyFont="1" applyAlignment="1">
      <alignment vertical="center"/>
    </xf>
    <xf numFmtId="0" fontId="22" fillId="0" borderId="0" xfId="3" applyFill="1"/>
    <xf numFmtId="0" fontId="24" fillId="11" borderId="1" xfId="0" applyFont="1" applyFill="1" applyBorder="1" applyAlignment="1">
      <alignment horizontal="left" vertical="center" wrapText="1"/>
    </xf>
    <xf numFmtId="0" fontId="0" fillId="19" borderId="1" xfId="0" applyFill="1" applyBorder="1" applyAlignment="1" applyProtection="1">
      <alignment horizontal="left" vertical="center" wrapText="1"/>
      <protection locked="0"/>
    </xf>
    <xf numFmtId="0" fontId="0" fillId="18" borderId="1" xfId="0" applyFill="1" applyBorder="1" applyAlignment="1" applyProtection="1">
      <alignment horizontal="left" vertical="center" wrapText="1"/>
      <protection locked="0"/>
    </xf>
    <xf numFmtId="1" fontId="0" fillId="19" borderId="6" xfId="0" applyNumberFormat="1" applyFill="1" applyBorder="1" applyAlignment="1" applyProtection="1">
      <alignment horizontal="left" vertical="center"/>
      <protection locked="0"/>
    </xf>
    <xf numFmtId="1" fontId="0" fillId="19" borderId="12" xfId="0" applyNumberFormat="1" applyFill="1" applyBorder="1" applyAlignment="1" applyProtection="1">
      <alignment horizontal="left" vertical="center"/>
      <protection locked="0"/>
    </xf>
    <xf numFmtId="0" fontId="22" fillId="0" borderId="0" xfId="3" applyFill="1" applyAlignment="1">
      <alignment horizontal="left" wrapText="1"/>
    </xf>
    <xf numFmtId="0" fontId="24" fillId="11" borderId="10" xfId="0" applyFont="1" applyFill="1" applyBorder="1" applyAlignment="1">
      <alignment horizontal="left" vertical="center" wrapText="1"/>
    </xf>
    <xf numFmtId="0" fontId="0" fillId="0" borderId="16" xfId="0" applyBorder="1" applyAlignment="1">
      <alignment horizontal="left" vertical="center" wrapText="1"/>
    </xf>
    <xf numFmtId="2" fontId="0" fillId="19" borderId="1" xfId="0" applyNumberFormat="1" applyFill="1" applyBorder="1" applyAlignment="1" applyProtection="1">
      <alignment horizontal="left" vertical="center" wrapText="1"/>
      <protection locked="0"/>
    </xf>
    <xf numFmtId="0" fontId="41" fillId="11" borderId="1" xfId="0" applyFont="1" applyFill="1" applyBorder="1" applyAlignment="1">
      <alignment horizontal="left" vertical="center" wrapText="1"/>
    </xf>
    <xf numFmtId="0" fontId="37" fillId="6" borderId="0" xfId="0" applyFont="1" applyFill="1" applyAlignment="1">
      <alignment horizontal="center" vertical="center" wrapText="1"/>
    </xf>
    <xf numFmtId="0" fontId="45" fillId="0" borderId="2" xfId="0" applyFont="1" applyBorder="1" applyAlignment="1">
      <alignment horizontal="left" vertical="center"/>
    </xf>
    <xf numFmtId="0" fontId="45" fillId="0" borderId="0" xfId="0" applyFont="1" applyAlignment="1">
      <alignment horizontal="left" vertical="center"/>
    </xf>
    <xf numFmtId="0" fontId="0" fillId="19" borderId="10" xfId="0" applyFill="1" applyBorder="1" applyAlignment="1" applyProtection="1">
      <alignment horizontal="center" vertical="center" wrapText="1"/>
      <protection locked="0"/>
    </xf>
    <xf numFmtId="0" fontId="0" fillId="19" borderId="15" xfId="0" applyFill="1" applyBorder="1" applyAlignment="1" applyProtection="1">
      <alignment horizontal="center" vertical="center" wrapText="1"/>
      <protection locked="0"/>
    </xf>
    <xf numFmtId="0" fontId="0" fillId="19" borderId="16" xfId="0" applyFill="1" applyBorder="1" applyAlignment="1" applyProtection="1">
      <alignment horizontal="center" vertical="center" wrapText="1"/>
      <protection locked="0"/>
    </xf>
    <xf numFmtId="0" fontId="37" fillId="6" borderId="0" xfId="0" applyFont="1" applyFill="1" applyAlignment="1">
      <alignment horizontal="center" vertical="center"/>
    </xf>
    <xf numFmtId="0" fontId="41" fillId="0" borderId="1" xfId="0" applyFont="1" applyBorder="1" applyAlignment="1">
      <alignment horizontal="left" vertical="center" wrapText="1"/>
    </xf>
    <xf numFmtId="0" fontId="28" fillId="18" borderId="1" xfId="0" applyFont="1" applyFill="1" applyBorder="1" applyAlignment="1" applyProtection="1">
      <alignment horizontal="center" vertical="center" wrapText="1"/>
      <protection locked="0"/>
    </xf>
    <xf numFmtId="0" fontId="41" fillId="0" borderId="10" xfId="0" applyFont="1" applyBorder="1" applyAlignment="1">
      <alignment horizontal="right" vertical="center" wrapText="1"/>
    </xf>
    <xf numFmtId="0" fontId="41" fillId="0" borderId="16" xfId="0" applyFont="1" applyBorder="1" applyAlignment="1">
      <alignment horizontal="right" vertical="center" wrapText="1"/>
    </xf>
    <xf numFmtId="0" fontId="28" fillId="18" borderId="10" xfId="0" applyFont="1" applyFill="1" applyBorder="1" applyAlignment="1" applyProtection="1">
      <alignment horizontal="left" vertical="center" wrapText="1"/>
      <protection locked="0"/>
    </xf>
    <xf numFmtId="0" fontId="28" fillId="18" borderId="15" xfId="0" applyFont="1" applyFill="1" applyBorder="1" applyAlignment="1" applyProtection="1">
      <alignment horizontal="left" vertical="center" wrapText="1"/>
      <protection locked="0"/>
    </xf>
    <xf numFmtId="0" fontId="28" fillId="18" borderId="16" xfId="0" applyFont="1" applyFill="1" applyBorder="1" applyAlignment="1" applyProtection="1">
      <alignment horizontal="left" vertical="center" wrapText="1"/>
      <protection locked="0"/>
    </xf>
    <xf numFmtId="0" fontId="33" fillId="8" borderId="0" xfId="0" applyFont="1" applyFill="1" applyAlignment="1">
      <alignment horizontal="center" vertical="center"/>
    </xf>
    <xf numFmtId="0" fontId="0" fillId="19" borderId="15" xfId="0" applyFill="1" applyBorder="1" applyAlignment="1" applyProtection="1">
      <alignment horizontal="left" vertical="center" wrapText="1"/>
      <protection locked="0"/>
    </xf>
    <xf numFmtId="0" fontId="0" fillId="19" borderId="16" xfId="0" applyFill="1" applyBorder="1" applyAlignment="1" applyProtection="1">
      <alignment horizontal="left" vertical="center" wrapText="1"/>
      <protection locked="0"/>
    </xf>
    <xf numFmtId="0" fontId="33" fillId="0" borderId="0" xfId="0" applyFont="1" applyAlignment="1">
      <alignment horizontal="center" vertical="center"/>
    </xf>
    <xf numFmtId="0" fontId="0" fillId="19" borderId="10" xfId="0"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8" xfId="0" applyBorder="1" applyAlignment="1">
      <alignment horizontal="left" vertical="center" wrapText="1"/>
    </xf>
    <xf numFmtId="0" fontId="36" fillId="19" borderId="10" xfId="0" applyFont="1" applyFill="1" applyBorder="1" applyAlignment="1" applyProtection="1">
      <alignment horizontal="left" vertical="center"/>
      <protection locked="0"/>
    </xf>
    <xf numFmtId="0" fontId="36" fillId="19" borderId="15" xfId="0" applyFont="1" applyFill="1" applyBorder="1" applyAlignment="1" applyProtection="1">
      <alignment horizontal="left" vertical="center"/>
      <protection locked="0"/>
    </xf>
    <xf numFmtId="0" fontId="36" fillId="19" borderId="16" xfId="0" applyFont="1" applyFill="1" applyBorder="1" applyAlignment="1" applyProtection="1">
      <alignment horizontal="left" vertical="center"/>
      <protection locked="0"/>
    </xf>
    <xf numFmtId="167" fontId="0" fillId="18" borderId="10" xfId="0" applyNumberFormat="1" applyFill="1" applyBorder="1" applyAlignment="1" applyProtection="1">
      <alignment horizontal="left" vertical="center" wrapText="1"/>
      <protection locked="0"/>
    </xf>
    <xf numFmtId="167" fontId="0" fillId="18" borderId="15" xfId="0" applyNumberFormat="1" applyFill="1" applyBorder="1" applyAlignment="1" applyProtection="1">
      <alignment horizontal="left" vertical="center" wrapText="1"/>
      <protection locked="0"/>
    </xf>
    <xf numFmtId="167" fontId="0" fillId="18" borderId="16" xfId="0" applyNumberFormat="1" applyFill="1" applyBorder="1" applyAlignment="1" applyProtection="1">
      <alignment horizontal="left" vertical="center" wrapText="1"/>
      <protection locked="0"/>
    </xf>
    <xf numFmtId="0" fontId="49" fillId="4" borderId="0" xfId="0" applyFont="1" applyFill="1" applyAlignment="1">
      <alignment horizontal="left" vertical="center" wrapText="1"/>
    </xf>
    <xf numFmtId="0" fontId="49" fillId="0" borderId="0" xfId="0" applyFont="1" applyAlignment="1">
      <alignment horizontal="left" vertical="center" wrapText="1"/>
    </xf>
    <xf numFmtId="0" fontId="22" fillId="19" borderId="10" xfId="3" applyFill="1" applyBorder="1" applyAlignment="1" applyProtection="1">
      <alignment horizontal="center" vertical="center" wrapText="1"/>
      <protection locked="0"/>
    </xf>
    <xf numFmtId="0" fontId="0" fillId="17" borderId="10" xfId="0" applyFill="1" applyBorder="1" applyAlignment="1">
      <alignment horizontal="left" vertical="center" wrapText="1"/>
    </xf>
    <xf numFmtId="0" fontId="0" fillId="17" borderId="15" xfId="0" applyFill="1" applyBorder="1" applyAlignment="1">
      <alignment horizontal="left" vertical="center" wrapText="1"/>
    </xf>
    <xf numFmtId="0" fontId="0" fillId="17" borderId="16" xfId="0" applyFill="1" applyBorder="1" applyAlignment="1">
      <alignment horizontal="left" vertical="center" wrapText="1"/>
    </xf>
    <xf numFmtId="0" fontId="24" fillId="11" borderId="6" xfId="0" applyFont="1" applyFill="1" applyBorder="1" applyAlignment="1">
      <alignment vertical="center" wrapText="1"/>
    </xf>
    <xf numFmtId="0" fontId="24" fillId="11" borderId="7" xfId="0" applyFont="1" applyFill="1" applyBorder="1" applyAlignment="1">
      <alignment vertical="center" wrapText="1"/>
    </xf>
    <xf numFmtId="0" fontId="0" fillId="18" borderId="6" xfId="0" applyFill="1" applyBorder="1" applyAlignment="1" applyProtection="1">
      <alignment horizontal="left" vertical="center" wrapText="1"/>
      <protection locked="0"/>
    </xf>
    <xf numFmtId="0" fontId="0" fillId="18" borderId="8" xfId="0" applyFill="1" applyBorder="1" applyAlignment="1" applyProtection="1">
      <alignment horizontal="left" vertical="center" wrapText="1"/>
      <protection locked="0"/>
    </xf>
    <xf numFmtId="0" fontId="0" fillId="18" borderId="12" xfId="0" applyFill="1" applyBorder="1" applyAlignment="1" applyProtection="1">
      <alignment horizontal="left" vertical="center" wrapText="1"/>
      <protection locked="0"/>
    </xf>
    <xf numFmtId="0" fontId="0" fillId="18" borderId="7" xfId="0" applyFill="1" applyBorder="1" applyAlignment="1" applyProtection="1">
      <alignment horizontal="left" vertical="center" wrapText="1"/>
      <protection locked="0"/>
    </xf>
    <xf numFmtId="0" fontId="0" fillId="18" borderId="9" xfId="0" applyFill="1" applyBorder="1" applyAlignment="1" applyProtection="1">
      <alignment horizontal="left" vertical="center" wrapText="1"/>
      <protection locked="0"/>
    </xf>
    <xf numFmtId="0" fontId="0" fillId="18" borderId="14" xfId="0" applyFill="1" applyBorder="1" applyAlignment="1" applyProtection="1">
      <alignment horizontal="left" vertical="center" wrapText="1"/>
      <protection locked="0"/>
    </xf>
    <xf numFmtId="0" fontId="24" fillId="11" borderId="4" xfId="0" applyFont="1" applyFill="1" applyBorder="1" applyAlignment="1">
      <alignment horizontal="left" vertical="center" wrapText="1"/>
    </xf>
    <xf numFmtId="0" fontId="24" fillId="11" borderId="5" xfId="0" applyFont="1" applyFill="1" applyBorder="1" applyAlignment="1">
      <alignment horizontal="left" vertical="center" wrapText="1"/>
    </xf>
    <xf numFmtId="0" fontId="0" fillId="18" borderId="10" xfId="0" applyFill="1" applyBorder="1" applyAlignment="1" applyProtection="1">
      <alignment horizontal="left" vertical="center" wrapText="1"/>
      <protection locked="0"/>
    </xf>
    <xf numFmtId="0" fontId="0" fillId="18" borderId="15" xfId="0" applyFill="1" applyBorder="1" applyAlignment="1" applyProtection="1">
      <alignment horizontal="left" vertical="center" wrapText="1"/>
      <protection locked="0"/>
    </xf>
    <xf numFmtId="0" fontId="0" fillId="18" borderId="16" xfId="0" applyFill="1" applyBorder="1" applyAlignment="1" applyProtection="1">
      <alignment horizontal="left" vertical="center" wrapText="1"/>
      <protection locked="0"/>
    </xf>
    <xf numFmtId="0" fontId="24" fillId="11" borderId="16" xfId="0" applyFont="1" applyFill="1" applyBorder="1" applyAlignment="1">
      <alignment horizontal="left" vertical="center" wrapText="1"/>
    </xf>
    <xf numFmtId="0" fontId="0" fillId="14" borderId="10" xfId="0" applyFill="1" applyBorder="1" applyAlignment="1" applyProtection="1">
      <alignment horizontal="left" vertical="center" wrapText="1"/>
      <protection locked="0"/>
    </xf>
    <xf numFmtId="0" fontId="0" fillId="14" borderId="15" xfId="0" applyFill="1" applyBorder="1" applyAlignment="1" applyProtection="1">
      <alignment horizontal="left" vertical="center" wrapText="1"/>
      <protection locked="0"/>
    </xf>
    <xf numFmtId="0" fontId="0" fillId="14" borderId="16" xfId="0" applyFill="1" applyBorder="1" applyAlignment="1" applyProtection="1">
      <alignment horizontal="left" vertical="center" wrapText="1"/>
      <protection locked="0"/>
    </xf>
    <xf numFmtId="0" fontId="0" fillId="14" borderId="1" xfId="0" applyFill="1" applyBorder="1" applyAlignment="1" applyProtection="1">
      <alignment horizontal="left" vertical="center" wrapText="1"/>
      <protection locked="0"/>
    </xf>
    <xf numFmtId="0" fontId="24" fillId="11" borderId="15" xfId="0" applyFont="1" applyFill="1" applyBorder="1" applyAlignment="1">
      <alignment horizontal="left" vertical="center" wrapText="1"/>
    </xf>
    <xf numFmtId="0" fontId="0" fillId="14" borderId="10" xfId="0" applyFill="1" applyBorder="1" applyAlignment="1">
      <alignment horizontal="left" vertical="center" wrapText="1"/>
    </xf>
    <xf numFmtId="0" fontId="0" fillId="14" borderId="15" xfId="0" applyFill="1" applyBorder="1" applyAlignment="1">
      <alignment horizontal="left" vertical="center" wrapText="1"/>
    </xf>
    <xf numFmtId="0" fontId="0" fillId="14" borderId="16" xfId="0" applyFill="1" applyBorder="1" applyAlignment="1">
      <alignment horizontal="left" vertical="center" wrapText="1"/>
    </xf>
    <xf numFmtId="0" fontId="31" fillId="0" borderId="0" xfId="0" applyFont="1" applyAlignment="1">
      <alignment horizontal="center" vertical="center"/>
    </xf>
    <xf numFmtId="49" fontId="0" fillId="14" borderId="1" xfId="0" applyNumberFormat="1" applyFill="1" applyBorder="1" applyAlignment="1" applyProtection="1">
      <alignment horizontal="left" vertical="center" wrapText="1"/>
      <protection locked="0"/>
    </xf>
    <xf numFmtId="0" fontId="0" fillId="14" borderId="10" xfId="0" applyFill="1" applyBorder="1" applyAlignment="1">
      <alignment horizontal="center" vertical="center" wrapText="1"/>
    </xf>
    <xf numFmtId="0" fontId="0" fillId="14" borderId="15" xfId="0" applyFill="1" applyBorder="1" applyAlignment="1">
      <alignment horizontal="center" vertical="center" wrapText="1"/>
    </xf>
    <xf numFmtId="0" fontId="0" fillId="14" borderId="16" xfId="0" applyFill="1" applyBorder="1" applyAlignment="1">
      <alignment horizontal="center" vertical="center" wrapText="1"/>
    </xf>
    <xf numFmtId="0" fontId="39" fillId="0" borderId="0" xfId="0" applyFont="1" applyAlignment="1">
      <alignment horizontal="center" vertical="center"/>
    </xf>
    <xf numFmtId="0" fontId="24" fillId="0" borderId="10" xfId="0" applyFont="1" applyBorder="1" applyAlignment="1">
      <alignment horizontal="left" vertical="center" wrapText="1"/>
    </xf>
    <xf numFmtId="0" fontId="24" fillId="0" borderId="15" xfId="0" applyFont="1" applyBorder="1" applyAlignment="1">
      <alignment horizontal="left" vertical="center" wrapText="1"/>
    </xf>
    <xf numFmtId="0" fontId="24" fillId="0" borderId="16" xfId="0" applyFont="1" applyBorder="1" applyAlignment="1">
      <alignment horizontal="left" vertical="center" wrapText="1"/>
    </xf>
    <xf numFmtId="0" fontId="76" fillId="0" borderId="0" xfId="0" applyFont="1" applyAlignment="1">
      <alignment horizontal="left" vertical="center" wrapText="1"/>
    </xf>
    <xf numFmtId="0" fontId="0" fillId="19" borderId="1" xfId="0" applyFill="1" applyBorder="1" applyAlignment="1" applyProtection="1">
      <alignment horizontal="center" vertical="center" wrapText="1"/>
      <protection locked="0"/>
    </xf>
    <xf numFmtId="0" fontId="24" fillId="12" borderId="10" xfId="0" applyFont="1" applyFill="1" applyBorder="1" applyAlignment="1">
      <alignment horizontal="center" vertical="center" wrapText="1"/>
    </xf>
    <xf numFmtId="0" fontId="0" fillId="0" borderId="16" xfId="0" applyBorder="1" applyAlignment="1">
      <alignment vertical="center" wrapText="1"/>
    </xf>
    <xf numFmtId="0" fontId="39" fillId="0" borderId="0" xfId="0" applyFont="1" applyAlignment="1">
      <alignment horizontal="left" vertical="center"/>
    </xf>
    <xf numFmtId="0" fontId="33" fillId="7" borderId="0" xfId="0" applyFont="1" applyFill="1" applyAlignment="1">
      <alignment horizontal="center" vertical="center"/>
    </xf>
    <xf numFmtId="0" fontId="45" fillId="0" borderId="0" xfId="0" applyFont="1" applyAlignment="1">
      <alignment horizontal="left" vertical="top" wrapText="1"/>
    </xf>
    <xf numFmtId="0" fontId="39" fillId="0" borderId="9" xfId="0" applyFont="1" applyBorder="1" applyAlignment="1">
      <alignment horizontal="center" vertical="center" wrapText="1"/>
    </xf>
    <xf numFmtId="0" fontId="39" fillId="0" borderId="14" xfId="0" applyFont="1" applyBorder="1" applyAlignment="1">
      <alignment horizontal="center" vertical="center" wrapText="1"/>
    </xf>
    <xf numFmtId="0" fontId="24" fillId="12" borderId="1" xfId="0" applyFont="1" applyFill="1" applyBorder="1" applyAlignment="1">
      <alignment horizontal="center" vertical="center" wrapText="1"/>
    </xf>
    <xf numFmtId="0" fontId="24" fillId="4" borderId="1" xfId="0" applyFont="1" applyFill="1" applyBorder="1" applyAlignment="1">
      <alignment horizontal="center" vertical="center" wrapText="1"/>
    </xf>
    <xf numFmtId="0" fontId="45" fillId="0" borderId="0" xfId="0" applyFont="1" applyAlignment="1">
      <alignment horizontal="left" vertical="center" wrapText="1"/>
    </xf>
    <xf numFmtId="0" fontId="39" fillId="0" borderId="0" xfId="0" applyFont="1" applyAlignment="1">
      <alignment horizontal="left" vertical="center" wrapText="1"/>
    </xf>
    <xf numFmtId="0" fontId="0" fillId="16" borderId="1" xfId="0" applyFill="1" applyBorder="1" applyAlignment="1">
      <alignment horizontal="center" vertical="center" wrapText="1"/>
    </xf>
    <xf numFmtId="0" fontId="0" fillId="18" borderId="1" xfId="0" applyFill="1" applyBorder="1" applyAlignment="1" applyProtection="1">
      <alignment horizontal="center" vertical="center" wrapText="1"/>
      <protection locked="0"/>
    </xf>
    <xf numFmtId="0" fontId="45" fillId="0" borderId="2" xfId="0" applyFont="1" applyBorder="1" applyAlignment="1">
      <alignment horizontal="left" vertical="center" wrapText="1"/>
    </xf>
    <xf numFmtId="0" fontId="41" fillId="4" borderId="10" xfId="0" applyFont="1" applyFill="1" applyBorder="1" applyAlignment="1">
      <alignment horizontal="left" vertical="center" wrapText="1"/>
    </xf>
    <xf numFmtId="0" fontId="41" fillId="4" borderId="16" xfId="0" applyFont="1" applyFill="1" applyBorder="1" applyAlignment="1">
      <alignment horizontal="left" vertical="center" wrapText="1"/>
    </xf>
    <xf numFmtId="0" fontId="41" fillId="4" borderId="1" xfId="0" applyFont="1" applyFill="1" applyBorder="1" applyAlignment="1">
      <alignment horizontal="center" vertical="center" wrapText="1"/>
    </xf>
    <xf numFmtId="0" fontId="41" fillId="4" borderId="4" xfId="0" applyFont="1" applyFill="1" applyBorder="1" applyAlignment="1">
      <alignment horizontal="center" vertical="center" wrapText="1"/>
    </xf>
    <xf numFmtId="0" fontId="41" fillId="4" borderId="5" xfId="0" applyFont="1" applyFill="1" applyBorder="1" applyAlignment="1">
      <alignment horizontal="center" vertical="center" wrapText="1"/>
    </xf>
    <xf numFmtId="0" fontId="41" fillId="4" borderId="1" xfId="0" applyFont="1" applyFill="1" applyBorder="1" applyAlignment="1">
      <alignment horizontal="left" vertical="center" wrapText="1"/>
    </xf>
    <xf numFmtId="0" fontId="25" fillId="7" borderId="0" xfId="0" applyFont="1" applyFill="1" applyAlignment="1">
      <alignment horizontal="left" vertical="center"/>
    </xf>
    <xf numFmtId="0" fontId="6" fillId="4" borderId="4" xfId="0" applyFont="1" applyFill="1" applyBorder="1" applyAlignment="1">
      <alignment horizontal="left" vertical="center" wrapText="1"/>
    </xf>
    <xf numFmtId="0" fontId="28" fillId="4" borderId="5" xfId="0" applyFont="1" applyFill="1" applyBorder="1" applyAlignment="1">
      <alignment horizontal="left" vertical="center" wrapText="1"/>
    </xf>
    <xf numFmtId="0" fontId="0" fillId="0" borderId="0" xfId="0" applyAlignment="1">
      <alignment horizontal="center"/>
    </xf>
    <xf numFmtId="0" fontId="24" fillId="11" borderId="1" xfId="0" applyFont="1" applyFill="1" applyBorder="1" applyAlignment="1">
      <alignment horizontal="center" vertical="center" wrapText="1"/>
    </xf>
    <xf numFmtId="0" fontId="44" fillId="7" borderId="2" xfId="0" applyFont="1" applyFill="1" applyBorder="1" applyAlignment="1">
      <alignment horizontal="left" vertical="center" wrapText="1"/>
    </xf>
    <xf numFmtId="0" fontId="44" fillId="7" borderId="0" xfId="0" applyFont="1" applyFill="1" applyAlignment="1">
      <alignment horizontal="left" vertical="center" wrapText="1"/>
    </xf>
    <xf numFmtId="0" fontId="39" fillId="4" borderId="1" xfId="0" applyFont="1" applyFill="1" applyBorder="1" applyAlignment="1">
      <alignment horizontal="center" vertical="center"/>
    </xf>
    <xf numFmtId="0" fontId="39" fillId="12" borderId="7" xfId="0" applyFont="1" applyFill="1" applyBorder="1" applyAlignment="1">
      <alignment horizontal="center" vertical="center"/>
    </xf>
    <xf numFmtId="0" fontId="0" fillId="0" borderId="14" xfId="0" applyBorder="1" applyAlignment="1">
      <alignment vertical="center"/>
    </xf>
    <xf numFmtId="0" fontId="0" fillId="18" borderId="10" xfId="0" applyFill="1" applyBorder="1" applyAlignment="1" applyProtection="1">
      <alignment horizontal="center" vertical="center" wrapText="1"/>
      <protection locked="0"/>
    </xf>
    <xf numFmtId="0" fontId="0" fillId="18" borderId="16" xfId="0" applyFill="1" applyBorder="1" applyAlignment="1" applyProtection="1">
      <alignment horizontal="center" vertical="center" wrapText="1"/>
      <protection locked="0"/>
    </xf>
    <xf numFmtId="0" fontId="39" fillId="4" borderId="11" xfId="0" applyFont="1" applyFill="1" applyBorder="1" applyAlignment="1">
      <alignment horizontal="center" vertical="center" wrapText="1"/>
    </xf>
    <xf numFmtId="0" fontId="0" fillId="17" borderId="10" xfId="0" applyFill="1" applyBorder="1" applyAlignment="1">
      <alignment horizontal="center" vertical="center" wrapText="1"/>
    </xf>
    <xf numFmtId="0" fontId="0" fillId="17" borderId="16" xfId="0" applyFill="1" applyBorder="1" applyAlignment="1">
      <alignment horizontal="center" vertical="center" wrapText="1"/>
    </xf>
    <xf numFmtId="0" fontId="0" fillId="20" borderId="10" xfId="0" applyFill="1" applyBorder="1" applyAlignment="1" applyProtection="1">
      <alignment horizontal="center" vertical="center" wrapText="1"/>
      <protection locked="0"/>
    </xf>
    <xf numFmtId="0" fontId="0" fillId="20" borderId="16" xfId="0" applyFill="1" applyBorder="1" applyAlignment="1" applyProtection="1">
      <alignment horizontal="center" vertical="center" wrapText="1"/>
      <protection locked="0"/>
    </xf>
    <xf numFmtId="0" fontId="41" fillId="17" borderId="10" xfId="0" applyFont="1" applyFill="1" applyBorder="1" applyAlignment="1">
      <alignment horizontal="center" vertical="center" wrapText="1"/>
    </xf>
    <xf numFmtId="0" fontId="41" fillId="17" borderId="16" xfId="0" applyFont="1" applyFill="1" applyBorder="1" applyAlignment="1">
      <alignment horizontal="center" vertical="center" wrapText="1"/>
    </xf>
    <xf numFmtId="0" fontId="33" fillId="19" borderId="10" xfId="0" applyFont="1" applyFill="1" applyBorder="1" applyAlignment="1" applyProtection="1">
      <alignment horizontal="center" vertical="center"/>
      <protection locked="0"/>
    </xf>
    <xf numFmtId="0" fontId="33" fillId="19" borderId="16" xfId="0" applyFont="1" applyFill="1" applyBorder="1" applyAlignment="1" applyProtection="1">
      <alignment horizontal="center" vertical="center"/>
      <protection locked="0"/>
    </xf>
    <xf numFmtId="0" fontId="0" fillId="29" borderId="10" xfId="0" applyFill="1" applyBorder="1" applyAlignment="1" applyProtection="1">
      <alignment horizontal="left" vertical="center"/>
      <protection locked="0"/>
    </xf>
    <xf numFmtId="0" fontId="0" fillId="29" borderId="15" xfId="0" applyFill="1" applyBorder="1" applyAlignment="1" applyProtection="1">
      <alignment horizontal="left" vertical="center"/>
      <protection locked="0"/>
    </xf>
    <xf numFmtId="0" fontId="0" fillId="29" borderId="16" xfId="0" applyFill="1" applyBorder="1" applyAlignment="1" applyProtection="1">
      <alignment horizontal="left" vertical="center"/>
      <protection locked="0"/>
    </xf>
    <xf numFmtId="0" fontId="41" fillId="13" borderId="10" xfId="0" applyFont="1" applyFill="1" applyBorder="1" applyAlignment="1">
      <alignment horizontal="left" vertical="center"/>
    </xf>
    <xf numFmtId="0" fontId="41" fillId="13" borderId="15" xfId="0" applyFont="1" applyFill="1" applyBorder="1" applyAlignment="1">
      <alignment horizontal="left" vertical="center"/>
    </xf>
    <xf numFmtId="0" fontId="41" fillId="13" borderId="16" xfId="0" applyFont="1" applyFill="1" applyBorder="1" applyAlignment="1">
      <alignment horizontal="left" vertical="center"/>
    </xf>
    <xf numFmtId="0" fontId="28" fillId="13" borderId="1" xfId="0" applyFont="1" applyFill="1" applyBorder="1" applyAlignment="1">
      <alignment horizontal="left" vertical="center" wrapText="1"/>
    </xf>
    <xf numFmtId="0" fontId="41" fillId="13" borderId="1" xfId="0" applyFont="1" applyFill="1" applyBorder="1" applyAlignment="1">
      <alignment horizontal="left" vertical="center"/>
    </xf>
    <xf numFmtId="0" fontId="0" fillId="0" borderId="0" xfId="0"/>
    <xf numFmtId="0" fontId="39" fillId="12" borderId="1" xfId="0" applyFont="1" applyFill="1" applyBorder="1" applyAlignment="1">
      <alignment horizontal="center" vertical="center"/>
    </xf>
    <xf numFmtId="0" fontId="33" fillId="12" borderId="10" xfId="0" applyFont="1" applyFill="1" applyBorder="1" applyAlignment="1">
      <alignment horizontal="center" vertical="center"/>
    </xf>
    <xf numFmtId="0" fontId="33" fillId="12" borderId="16" xfId="0" applyFont="1" applyFill="1" applyBorder="1" applyAlignment="1">
      <alignment horizontal="center" vertical="center"/>
    </xf>
    <xf numFmtId="0" fontId="33" fillId="21" borderId="10" xfId="0" applyFont="1" applyFill="1" applyBorder="1" applyAlignment="1" applyProtection="1">
      <alignment horizontal="center" vertical="center"/>
      <protection locked="0"/>
    </xf>
    <xf numFmtId="0" fontId="33" fillId="21" borderId="16" xfId="0" applyFont="1" applyFill="1" applyBorder="1" applyAlignment="1" applyProtection="1">
      <alignment horizontal="center" vertical="center"/>
      <protection locked="0"/>
    </xf>
    <xf numFmtId="0" fontId="39" fillId="12" borderId="22" xfId="0" applyFont="1" applyFill="1" applyBorder="1" applyAlignment="1">
      <alignment horizontal="left" vertical="center" wrapText="1"/>
    </xf>
    <xf numFmtId="0" fontId="39" fillId="12" borderId="23" xfId="0" applyFont="1" applyFill="1" applyBorder="1" applyAlignment="1">
      <alignment horizontal="left" vertical="center" wrapText="1"/>
    </xf>
    <xf numFmtId="0" fontId="39" fillId="12" borderId="24" xfId="0" applyFont="1" applyFill="1" applyBorder="1" applyAlignment="1">
      <alignment horizontal="left" vertical="center" wrapText="1"/>
    </xf>
    <xf numFmtId="0" fontId="26" fillId="0" borderId="0" xfId="0" applyFont="1" applyAlignment="1">
      <alignment horizontal="left" vertical="center" wrapText="1"/>
    </xf>
    <xf numFmtId="0" fontId="41" fillId="13" borderId="1" xfId="0" applyFont="1" applyFill="1" applyBorder="1" applyAlignment="1">
      <alignment horizontal="left" vertical="center" wrapText="1"/>
    </xf>
    <xf numFmtId="0" fontId="39" fillId="12" borderId="10" xfId="0" applyFont="1" applyFill="1" applyBorder="1" applyAlignment="1">
      <alignment horizontal="center" vertical="center" wrapText="1"/>
    </xf>
    <xf numFmtId="0" fontId="39" fillId="12" borderId="16" xfId="0" applyFont="1" applyFill="1" applyBorder="1" applyAlignment="1">
      <alignment horizontal="center" vertical="center" wrapText="1"/>
    </xf>
    <xf numFmtId="0" fontId="34" fillId="19" borderId="10" xfId="0" applyFont="1" applyFill="1" applyBorder="1" applyAlignment="1" applyProtection="1">
      <alignment horizontal="left" vertical="center" wrapText="1"/>
      <protection locked="0"/>
    </xf>
    <xf numFmtId="0" fontId="34" fillId="18" borderId="6" xfId="0" applyFont="1" applyFill="1" applyBorder="1" applyAlignment="1" applyProtection="1">
      <alignment horizontal="left" vertical="center" wrapText="1"/>
      <protection locked="0"/>
    </xf>
    <xf numFmtId="0" fontId="34" fillId="19" borderId="6" xfId="0" applyFont="1" applyFill="1" applyBorder="1" applyAlignment="1" applyProtection="1">
      <alignment horizontal="left" vertical="center" wrapText="1"/>
      <protection locked="0"/>
    </xf>
    <xf numFmtId="0" fontId="34" fillId="19" borderId="8" xfId="0" applyFont="1" applyFill="1" applyBorder="1" applyAlignment="1" applyProtection="1">
      <alignment horizontal="left" vertical="center" wrapText="1"/>
      <protection locked="0"/>
    </xf>
    <xf numFmtId="0" fontId="34" fillId="19" borderId="12" xfId="0" applyFont="1" applyFill="1" applyBorder="1" applyAlignment="1" applyProtection="1">
      <alignment horizontal="left" vertical="center" wrapText="1"/>
      <protection locked="0"/>
    </xf>
    <xf numFmtId="0" fontId="34" fillId="19" borderId="7" xfId="0" applyFont="1" applyFill="1" applyBorder="1" applyAlignment="1" applyProtection="1">
      <alignment horizontal="left" vertical="center" wrapText="1"/>
      <protection locked="0"/>
    </xf>
    <xf numFmtId="0" fontId="34" fillId="19" borderId="9" xfId="0" applyFont="1" applyFill="1" applyBorder="1" applyAlignment="1" applyProtection="1">
      <alignment horizontal="left" vertical="center" wrapText="1"/>
      <protection locked="0"/>
    </xf>
    <xf numFmtId="0" fontId="34" fillId="19" borderId="14" xfId="0" applyFont="1" applyFill="1" applyBorder="1" applyAlignment="1" applyProtection="1">
      <alignment horizontal="left" vertical="center" wrapText="1"/>
      <protection locked="0"/>
    </xf>
    <xf numFmtId="0" fontId="24" fillId="7" borderId="10" xfId="0" applyFont="1" applyFill="1" applyBorder="1" applyAlignment="1">
      <alignment horizontal="left" vertical="center" wrapText="1"/>
    </xf>
    <xf numFmtId="0" fontId="0" fillId="0" borderId="15" xfId="0" applyBorder="1" applyAlignment="1">
      <alignment horizontal="left" vertical="center" wrapText="1"/>
    </xf>
    <xf numFmtId="0" fontId="0" fillId="29" borderId="10" xfId="0" applyFill="1" applyBorder="1" applyAlignment="1" applyProtection="1">
      <alignment horizontal="center" vertical="center" wrapText="1"/>
      <protection locked="0"/>
    </xf>
    <xf numFmtId="0" fontId="0" fillId="29" borderId="15" xfId="0" applyFill="1" applyBorder="1" applyAlignment="1" applyProtection="1">
      <alignment horizontal="center" vertical="center" wrapText="1"/>
      <protection locked="0"/>
    </xf>
    <xf numFmtId="0" fontId="0" fillId="29" borderId="16" xfId="0" applyFill="1" applyBorder="1" applyAlignment="1" applyProtection="1">
      <alignment horizontal="center" vertical="center" wrapText="1"/>
      <protection locked="0"/>
    </xf>
    <xf numFmtId="0" fontId="0" fillId="12" borderId="6" xfId="0" applyFill="1" applyBorder="1" applyAlignment="1">
      <alignment horizontal="center"/>
    </xf>
    <xf numFmtId="0" fontId="0" fillId="12" borderId="8" xfId="0" applyFill="1" applyBorder="1" applyAlignment="1">
      <alignment horizontal="center"/>
    </xf>
    <xf numFmtId="0" fontId="0" fillId="12" borderId="12" xfId="0" applyFill="1"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24" fillId="13" borderId="10" xfId="0" applyFont="1" applyFill="1" applyBorder="1" applyAlignment="1">
      <alignment horizontal="left" vertical="center" wrapText="1"/>
    </xf>
    <xf numFmtId="0" fontId="24" fillId="29" borderId="10" xfId="0" applyFont="1" applyFill="1" applyBorder="1" applyAlignment="1" applyProtection="1">
      <alignment horizontal="center" vertical="center" wrapText="1"/>
      <protection locked="0"/>
    </xf>
    <xf numFmtId="0" fontId="24" fillId="29" borderId="15" xfId="0" applyFont="1" applyFill="1" applyBorder="1" applyAlignment="1" applyProtection="1">
      <alignment horizontal="center" vertical="center" wrapText="1"/>
      <protection locked="0"/>
    </xf>
    <xf numFmtId="0" fontId="24" fillId="29" borderId="16" xfId="0" applyFont="1" applyFill="1" applyBorder="1" applyAlignment="1" applyProtection="1">
      <alignment horizontal="center" vertical="center" wrapText="1"/>
      <protection locked="0"/>
    </xf>
    <xf numFmtId="0" fontId="0" fillId="0" borderId="16" xfId="0" applyBorder="1" applyAlignment="1">
      <alignment horizontal="center" vertical="center" wrapText="1"/>
    </xf>
    <xf numFmtId="0" fontId="24" fillId="18" borderId="1" xfId="0" applyFont="1" applyFill="1" applyBorder="1" applyAlignment="1" applyProtection="1">
      <alignment horizontal="left" vertical="center" wrapText="1"/>
      <protection locked="0"/>
    </xf>
    <xf numFmtId="0" fontId="24" fillId="17" borderId="10" xfId="0" applyFont="1" applyFill="1" applyBorder="1" applyAlignment="1">
      <alignment horizontal="center" vertical="center" wrapText="1"/>
    </xf>
    <xf numFmtId="0" fontId="24" fillId="17" borderId="15" xfId="0" applyFont="1" applyFill="1" applyBorder="1" applyAlignment="1">
      <alignment horizontal="center" vertical="center" wrapText="1"/>
    </xf>
    <xf numFmtId="0" fontId="24" fillId="17" borderId="16" xfId="0" applyFont="1" applyFill="1" applyBorder="1" applyAlignment="1">
      <alignment horizontal="center" vertical="center" wrapText="1"/>
    </xf>
    <xf numFmtId="0" fontId="24" fillId="11" borderId="6" xfId="0" applyFont="1" applyFill="1" applyBorder="1" applyAlignment="1">
      <alignment horizontal="left" vertical="center" wrapText="1"/>
    </xf>
    <xf numFmtId="0" fontId="24" fillId="11" borderId="8" xfId="0" applyFont="1" applyFill="1" applyBorder="1" applyAlignment="1">
      <alignment horizontal="left" vertical="center" wrapText="1"/>
    </xf>
    <xf numFmtId="0" fontId="24" fillId="11" borderId="12" xfId="0" applyFont="1" applyFill="1" applyBorder="1" applyAlignment="1">
      <alignment horizontal="left" vertical="center" wrapText="1"/>
    </xf>
    <xf numFmtId="0" fontId="24" fillId="19" borderId="10" xfId="0" applyFont="1" applyFill="1" applyBorder="1" applyAlignment="1" applyProtection="1">
      <alignment horizontal="center" vertical="center" wrapText="1"/>
      <protection locked="0"/>
    </xf>
    <xf numFmtId="0" fontId="24" fillId="19" borderId="15" xfId="0" applyFont="1" applyFill="1" applyBorder="1" applyAlignment="1" applyProtection="1">
      <alignment horizontal="center" vertical="center" wrapText="1"/>
      <protection locked="0"/>
    </xf>
    <xf numFmtId="0" fontId="24" fillId="19" borderId="16" xfId="0" applyFont="1" applyFill="1" applyBorder="1" applyAlignment="1" applyProtection="1">
      <alignment horizontal="center" vertical="center" wrapText="1"/>
      <protection locked="0"/>
    </xf>
    <xf numFmtId="0" fontId="38" fillId="0" borderId="6" xfId="16" applyNumberFormat="1" applyFont="1"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48" fillId="22" borderId="10" xfId="0" applyFont="1" applyFill="1" applyBorder="1" applyAlignment="1">
      <alignment horizontal="center" vertical="center" wrapText="1"/>
    </xf>
    <xf numFmtId="0" fontId="26" fillId="12" borderId="6" xfId="0" applyFont="1" applyFill="1" applyBorder="1" applyAlignment="1">
      <alignment horizontal="center" vertical="center" wrapText="1"/>
    </xf>
    <xf numFmtId="0" fontId="0" fillId="0" borderId="12" xfId="0" applyBorder="1" applyAlignment="1">
      <alignment vertical="center" wrapText="1"/>
    </xf>
    <xf numFmtId="0" fontId="0" fillId="0" borderId="7" xfId="0" applyBorder="1" applyAlignment="1">
      <alignment vertical="center" wrapText="1"/>
    </xf>
    <xf numFmtId="0" fontId="0" fillId="0" borderId="14" xfId="0" applyBorder="1" applyAlignment="1">
      <alignment vertical="center" wrapText="1"/>
    </xf>
    <xf numFmtId="0" fontId="38" fillId="0" borderId="6" xfId="7" applyNumberFormat="1" applyFont="1" applyFill="1" applyBorder="1" applyAlignment="1" applyProtection="1">
      <alignment horizontal="left" vertical="top" wrapText="1"/>
      <protection locked="0"/>
    </xf>
    <xf numFmtId="0" fontId="0" fillId="0" borderId="12" xfId="0" applyBorder="1" applyAlignment="1">
      <alignment horizontal="center" vertical="center" wrapText="1"/>
    </xf>
    <xf numFmtId="0" fontId="0" fillId="0" borderId="7" xfId="0" applyBorder="1" applyAlignment="1">
      <alignment horizontal="center" vertical="center" wrapText="1"/>
    </xf>
    <xf numFmtId="0" fontId="0" fillId="0" borderId="14" xfId="0" applyBorder="1" applyAlignment="1">
      <alignment horizontal="center" vertical="center" wrapText="1"/>
    </xf>
    <xf numFmtId="0" fontId="50" fillId="23" borderId="10" xfId="0" applyFont="1" applyFill="1" applyBorder="1" applyAlignment="1">
      <alignment horizontal="center" vertical="center" wrapText="1"/>
    </xf>
    <xf numFmtId="0" fontId="0" fillId="0" borderId="15" xfId="0" applyBorder="1" applyAlignment="1">
      <alignment horizontal="center" vertical="center" wrapText="1"/>
    </xf>
    <xf numFmtId="0" fontId="48" fillId="17" borderId="2" xfId="0" applyFont="1" applyFill="1" applyBorder="1" applyAlignment="1">
      <alignment horizontal="center" vertical="center" wrapText="1"/>
    </xf>
    <xf numFmtId="0" fontId="0" fillId="17" borderId="0" xfId="0" applyFill="1" applyAlignment="1">
      <alignment horizontal="center" vertical="center" wrapText="1"/>
    </xf>
    <xf numFmtId="0" fontId="0" fillId="17" borderId="13" xfId="0" applyFill="1" applyBorder="1" applyAlignment="1">
      <alignment horizontal="center" vertical="center" wrapText="1"/>
    </xf>
    <xf numFmtId="0" fontId="52" fillId="0" borderId="6" xfId="16" applyNumberFormat="1" applyFont="1" applyBorder="1" applyAlignment="1" applyProtection="1">
      <alignment horizontal="left" vertical="top" wrapText="1"/>
      <protection locked="0"/>
    </xf>
    <xf numFmtId="0" fontId="51" fillId="0" borderId="8" xfId="0" applyFont="1" applyBorder="1" applyAlignment="1" applyProtection="1">
      <alignment horizontal="left" vertical="top" wrapText="1"/>
      <protection locked="0"/>
    </xf>
    <xf numFmtId="0" fontId="51" fillId="0" borderId="12" xfId="0" applyFont="1" applyBorder="1" applyAlignment="1" applyProtection="1">
      <alignment horizontal="left" vertical="top" wrapText="1"/>
      <protection locked="0"/>
    </xf>
    <xf numFmtId="0" fontId="51" fillId="0" borderId="7" xfId="0" applyFont="1" applyBorder="1" applyAlignment="1" applyProtection="1">
      <alignment horizontal="left" vertical="top" wrapText="1"/>
      <protection locked="0"/>
    </xf>
    <xf numFmtId="0" fontId="51" fillId="0" borderId="9"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26" fillId="12" borderId="10" xfId="0" applyFont="1" applyFill="1" applyBorder="1" applyAlignment="1">
      <alignment horizontal="center" vertical="center" wrapText="1"/>
    </xf>
    <xf numFmtId="0" fontId="29" fillId="6" borderId="9" xfId="0" applyFont="1" applyFill="1" applyBorder="1" applyAlignment="1">
      <alignment horizontal="center" vertical="center"/>
    </xf>
    <xf numFmtId="0" fontId="38" fillId="0" borderId="6" xfId="7" applyNumberFormat="1" applyFont="1" applyBorder="1" applyAlignment="1" applyProtection="1">
      <alignment horizontal="left" vertical="top" wrapText="1"/>
      <protection locked="0"/>
    </xf>
    <xf numFmtId="0" fontId="38" fillId="0" borderId="8" xfId="7" applyNumberFormat="1" applyFont="1" applyFill="1" applyBorder="1" applyAlignment="1" applyProtection="1">
      <alignment horizontal="left" vertical="top" wrapText="1"/>
      <protection locked="0"/>
    </xf>
    <xf numFmtId="0" fontId="38" fillId="0" borderId="12" xfId="7" applyNumberFormat="1" applyFont="1" applyFill="1" applyBorder="1" applyAlignment="1" applyProtection="1">
      <alignment horizontal="left" vertical="top" wrapText="1"/>
      <protection locked="0"/>
    </xf>
    <xf numFmtId="0" fontId="38" fillId="0" borderId="7" xfId="7" applyNumberFormat="1" applyFont="1" applyFill="1" applyBorder="1" applyAlignment="1" applyProtection="1">
      <alignment horizontal="left" vertical="top" wrapText="1"/>
      <protection locked="0"/>
    </xf>
    <xf numFmtId="0" fontId="38" fillId="0" borderId="9" xfId="7" applyNumberFormat="1" applyFont="1" applyFill="1" applyBorder="1" applyAlignment="1" applyProtection="1">
      <alignment horizontal="left" vertical="top" wrapText="1"/>
      <protection locked="0"/>
    </xf>
    <xf numFmtId="0" fontId="38" fillId="0" borderId="14" xfId="7" applyNumberFormat="1" applyFont="1" applyFill="1" applyBorder="1" applyAlignment="1" applyProtection="1">
      <alignment horizontal="left" vertical="top" wrapText="1"/>
      <protection locked="0"/>
    </xf>
    <xf numFmtId="0" fontId="0" fillId="0" borderId="0" xfId="0" applyAlignment="1">
      <alignment wrapText="1"/>
    </xf>
    <xf numFmtId="0" fontId="26" fillId="12" borderId="15" xfId="0" applyFont="1" applyFill="1" applyBorder="1" applyAlignment="1">
      <alignment horizontal="center" vertical="center" wrapText="1"/>
    </xf>
    <xf numFmtId="0" fontId="26" fillId="12" borderId="16" xfId="0" applyFont="1" applyFill="1" applyBorder="1" applyAlignment="1">
      <alignment horizontal="center" vertical="center" wrapText="1"/>
    </xf>
    <xf numFmtId="0" fontId="0" fillId="4" borderId="1" xfId="0" applyFill="1" applyBorder="1" applyAlignment="1" applyProtection="1">
      <alignment horizontal="left" vertical="top" wrapText="1"/>
      <protection locked="0"/>
    </xf>
    <xf numFmtId="0" fontId="0" fillId="0" borderId="1" xfId="0" applyBorder="1" applyAlignment="1" applyProtection="1">
      <alignment horizontal="left" vertical="top" wrapText="1"/>
      <protection locked="0"/>
    </xf>
    <xf numFmtId="0" fontId="0" fillId="17" borderId="1" xfId="0" applyFill="1" applyBorder="1" applyAlignment="1" applyProtection="1">
      <alignment horizontal="left" vertical="top" wrapText="1"/>
      <protection hidden="1"/>
    </xf>
    <xf numFmtId="0" fontId="0" fillId="4" borderId="16" xfId="0" applyFill="1" applyBorder="1" applyAlignment="1" applyProtection="1">
      <alignment horizontal="left" vertical="top" wrapText="1"/>
      <protection locked="0"/>
    </xf>
    <xf numFmtId="0" fontId="0" fillId="4" borderId="10" xfId="0" applyFill="1" applyBorder="1" applyAlignment="1" applyProtection="1">
      <alignment horizontal="left" vertical="top" wrapText="1"/>
      <protection locked="0"/>
    </xf>
    <xf numFmtId="0" fontId="68" fillId="0" borderId="0" xfId="0" applyFont="1" applyAlignment="1">
      <alignment horizontal="left" vertical="center" wrapText="1"/>
    </xf>
    <xf numFmtId="0" fontId="54" fillId="24" borderId="10" xfId="0" applyFont="1" applyFill="1" applyBorder="1" applyAlignment="1">
      <alignment horizontal="center" vertical="center" wrapText="1"/>
    </xf>
    <xf numFmtId="0" fontId="54" fillId="24" borderId="16"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0" fontId="56" fillId="0" borderId="2" xfId="0" applyFont="1" applyBorder="1" applyAlignment="1">
      <alignment horizontal="left" vertical="center" wrapText="1"/>
    </xf>
    <xf numFmtId="0" fontId="56" fillId="0" borderId="0" xfId="0" applyFont="1" applyAlignment="1">
      <alignment horizontal="left" vertical="center" wrapText="1"/>
    </xf>
    <xf numFmtId="0" fontId="0" fillId="0" borderId="13" xfId="0" applyBorder="1" applyAlignment="1">
      <alignment horizontal="center" vertical="center" wrapText="1"/>
    </xf>
    <xf numFmtId="0" fontId="54" fillId="25" borderId="10" xfId="0" applyFont="1" applyFill="1" applyBorder="1" applyAlignment="1">
      <alignment horizontal="center" vertical="center" wrapText="1"/>
    </xf>
    <xf numFmtId="0" fontId="54" fillId="25" borderId="16" xfId="0" applyFont="1" applyFill="1" applyBorder="1" applyAlignment="1">
      <alignment horizontal="center" vertical="center" wrapText="1"/>
    </xf>
    <xf numFmtId="0" fontId="54" fillId="25" borderId="15" xfId="0" applyFont="1" applyFill="1" applyBorder="1" applyAlignment="1">
      <alignment horizontal="center" vertical="center" wrapText="1"/>
    </xf>
    <xf numFmtId="0" fontId="54" fillId="24" borderId="6" xfId="0" applyFont="1" applyFill="1" applyBorder="1" applyAlignment="1">
      <alignment horizontal="center" vertical="center" wrapText="1"/>
    </xf>
    <xf numFmtId="0" fontId="54" fillId="24" borderId="8" xfId="0" applyFont="1" applyFill="1" applyBorder="1" applyAlignment="1">
      <alignment horizontal="center" vertical="center" wrapText="1"/>
    </xf>
    <xf numFmtId="0" fontId="54" fillId="24" borderId="12" xfId="0" applyFont="1" applyFill="1" applyBorder="1" applyAlignment="1">
      <alignment horizontal="center" vertical="center" wrapText="1"/>
    </xf>
    <xf numFmtId="0" fontId="0" fillId="0" borderId="13" xfId="0" applyBorder="1" applyAlignment="1">
      <alignment horizontal="center" vertical="center"/>
    </xf>
    <xf numFmtId="0" fontId="56" fillId="0" borderId="9" xfId="0" applyFont="1" applyBorder="1" applyAlignment="1">
      <alignment horizontal="left" vertical="center" wrapText="1"/>
    </xf>
    <xf numFmtId="170" fontId="58" fillId="24" borderId="3" xfId="0" applyNumberFormat="1" applyFont="1" applyFill="1" applyBorder="1" applyAlignment="1">
      <alignment horizontal="center" wrapText="1"/>
    </xf>
    <xf numFmtId="170" fontId="58" fillId="24" borderId="5" xfId="0" applyNumberFormat="1" applyFont="1" applyFill="1" applyBorder="1" applyAlignment="1">
      <alignment horizontal="center" wrapText="1"/>
    </xf>
    <xf numFmtId="0" fontId="58" fillId="24" borderId="4" xfId="0" applyFont="1" applyFill="1" applyBorder="1" applyAlignment="1">
      <alignment horizontal="center" wrapText="1"/>
    </xf>
    <xf numFmtId="0" fontId="58" fillId="24" borderId="5" xfId="0" applyFont="1" applyFill="1" applyBorder="1" applyAlignment="1">
      <alignment horizontal="center" wrapText="1"/>
    </xf>
    <xf numFmtId="0" fontId="56" fillId="0" borderId="2" xfId="0" applyFont="1" applyBorder="1" applyAlignment="1">
      <alignment horizontal="center" vertical="center" wrapText="1"/>
    </xf>
    <xf numFmtId="0" fontId="56" fillId="0" borderId="0" xfId="0" applyFont="1" applyAlignment="1">
      <alignment horizontal="center" vertical="center" wrapText="1"/>
    </xf>
    <xf numFmtId="0" fontId="54" fillId="0" borderId="10" xfId="0" applyFont="1" applyBorder="1" applyAlignment="1">
      <alignment horizontal="center" vertical="center" wrapText="1"/>
    </xf>
    <xf numFmtId="0" fontId="54" fillId="0" borderId="16" xfId="0" applyFont="1" applyBorder="1" applyAlignment="1">
      <alignment horizontal="center" vertical="center" wrapText="1"/>
    </xf>
    <xf numFmtId="0" fontId="54" fillId="24" borderId="2" xfId="0" applyFont="1" applyFill="1" applyBorder="1" applyAlignment="1">
      <alignment horizontal="center" vertical="center" wrapText="1"/>
    </xf>
    <xf numFmtId="0" fontId="54" fillId="24" borderId="0" xfId="0" applyFont="1" applyFill="1" applyAlignment="1">
      <alignment horizontal="center" vertical="center" wrapText="1"/>
    </xf>
    <xf numFmtId="0" fontId="54" fillId="24" borderId="1" xfId="0" applyFont="1" applyFill="1" applyBorder="1" applyAlignment="1">
      <alignment horizontal="center" vertical="center" wrapText="1"/>
    </xf>
    <xf numFmtId="0" fontId="0" fillId="0" borderId="1" xfId="0" applyBorder="1" applyAlignment="1">
      <alignment horizontal="center" vertical="center"/>
    </xf>
    <xf numFmtId="0" fontId="54" fillId="24" borderId="10" xfId="0" applyFont="1" applyFill="1" applyBorder="1" applyAlignment="1">
      <alignment horizontal="left" vertical="center"/>
    </xf>
    <xf numFmtId="0" fontId="54" fillId="24" borderId="15" xfId="0" applyFont="1" applyFill="1" applyBorder="1" applyAlignment="1">
      <alignment horizontal="left" vertical="center"/>
    </xf>
    <xf numFmtId="0" fontId="54" fillId="24" borderId="15" xfId="0" applyFont="1" applyFill="1" applyBorder="1" applyAlignment="1">
      <alignment horizontal="center" vertical="center" wrapText="1"/>
    </xf>
    <xf numFmtId="0" fontId="0" fillId="0" borderId="0" xfId="0" applyAlignment="1">
      <alignment horizontal="left" vertical="center"/>
    </xf>
    <xf numFmtId="0" fontId="54" fillId="24" borderId="10" xfId="0" applyFont="1" applyFill="1" applyBorder="1" applyAlignment="1">
      <alignment horizontal="center" vertical="center"/>
    </xf>
    <xf numFmtId="0" fontId="54" fillId="24" borderId="16" xfId="0" applyFont="1" applyFill="1" applyBorder="1" applyAlignment="1">
      <alignment horizontal="center" vertical="center"/>
    </xf>
    <xf numFmtId="0" fontId="54" fillId="24" borderId="4" xfId="0" applyFont="1" applyFill="1" applyBorder="1" applyAlignment="1">
      <alignment horizontal="center" vertical="center" wrapText="1"/>
    </xf>
    <xf numFmtId="0" fontId="0" fillId="0" borderId="0" xfId="0" applyAlignment="1">
      <alignment horizontal="left" vertical="top" wrapText="1"/>
    </xf>
    <xf numFmtId="0" fontId="54" fillId="24" borderId="10" xfId="0" applyFont="1" applyFill="1" applyBorder="1" applyAlignment="1">
      <alignment horizontal="left" vertical="center" wrapText="1"/>
    </xf>
    <xf numFmtId="0" fontId="54" fillId="24" borderId="12" xfId="0" applyFont="1" applyFill="1" applyBorder="1" applyAlignment="1">
      <alignment horizontal="left" vertical="center" wrapText="1"/>
    </xf>
    <xf numFmtId="0" fontId="56" fillId="0" borderId="8" xfId="0" applyFont="1" applyBorder="1" applyAlignment="1">
      <alignment horizontal="center" vertical="center" wrapText="1"/>
    </xf>
    <xf numFmtId="0" fontId="58" fillId="24" borderId="6" xfId="0" applyFont="1" applyFill="1" applyBorder="1" applyAlignment="1">
      <alignment horizontal="center" wrapText="1"/>
    </xf>
    <xf numFmtId="0" fontId="58" fillId="24" borderId="12" xfId="0" applyFont="1" applyFill="1" applyBorder="1" applyAlignment="1">
      <alignment horizontal="center" wrapText="1"/>
    </xf>
    <xf numFmtId="0" fontId="58" fillId="24" borderId="7" xfId="0" applyFont="1" applyFill="1" applyBorder="1" applyAlignment="1">
      <alignment horizontal="center" wrapText="1"/>
    </xf>
    <xf numFmtId="0" fontId="58" fillId="24" borderId="14" xfId="0" applyFont="1" applyFill="1" applyBorder="1" applyAlignment="1">
      <alignment horizontal="center" wrapText="1"/>
    </xf>
    <xf numFmtId="0" fontId="57" fillId="0" borderId="0" xfId="0" applyFont="1" applyAlignment="1">
      <alignment horizontal="center" vertical="center"/>
    </xf>
    <xf numFmtId="0" fontId="56" fillId="0" borderId="6" xfId="0" applyFont="1" applyBorder="1" applyAlignment="1">
      <alignment horizontal="left" vertical="center" wrapText="1"/>
    </xf>
    <xf numFmtId="0" fontId="56" fillId="0" borderId="8" xfId="0" applyFont="1" applyBorder="1" applyAlignment="1">
      <alignment horizontal="left" vertical="center" wrapText="1"/>
    </xf>
    <xf numFmtId="0" fontId="54" fillId="24" borderId="10" xfId="0" applyFont="1" applyFill="1" applyBorder="1" applyAlignment="1">
      <alignment horizontal="center" vertical="top" wrapText="1"/>
    </xf>
    <xf numFmtId="0" fontId="54" fillId="24" borderId="16" xfId="0" applyFont="1" applyFill="1" applyBorder="1" applyAlignment="1">
      <alignment horizontal="center" vertical="top" wrapText="1"/>
    </xf>
    <xf numFmtId="0" fontId="54" fillId="25" borderId="10" xfId="0" applyFont="1" applyFill="1" applyBorder="1" applyAlignment="1">
      <alignment horizontal="left" vertical="center" wrapText="1"/>
    </xf>
    <xf numFmtId="0" fontId="54" fillId="25" borderId="16" xfId="0" applyFont="1" applyFill="1" applyBorder="1" applyAlignment="1">
      <alignment horizontal="left" vertical="center" wrapText="1"/>
    </xf>
    <xf numFmtId="0" fontId="0" fillId="0" borderId="8" xfId="0" applyBorder="1" applyAlignment="1">
      <alignment horizontal="left" vertical="top"/>
    </xf>
    <xf numFmtId="0" fontId="54" fillId="25" borderId="4" xfId="0" applyFont="1" applyFill="1" applyBorder="1" applyAlignment="1">
      <alignment horizontal="center" vertical="center" wrapText="1"/>
    </xf>
    <xf numFmtId="0" fontId="54" fillId="25" borderId="5" xfId="0" applyFont="1" applyFill="1" applyBorder="1" applyAlignment="1">
      <alignment horizontal="center" vertical="center" wrapText="1"/>
    </xf>
    <xf numFmtId="0" fontId="54" fillId="30" borderId="4" xfId="0" applyFont="1" applyFill="1" applyBorder="1" applyAlignment="1">
      <alignment horizontal="center" vertical="center" wrapText="1"/>
    </xf>
    <xf numFmtId="0" fontId="54" fillId="30" borderId="5" xfId="0" applyFont="1" applyFill="1" applyBorder="1" applyAlignment="1">
      <alignment horizontal="center" vertical="center" wrapText="1"/>
    </xf>
    <xf numFmtId="0" fontId="54" fillId="24" borderId="16" xfId="0" applyFont="1" applyFill="1" applyBorder="1" applyAlignment="1">
      <alignment horizontal="left" vertical="center"/>
    </xf>
    <xf numFmtId="0" fontId="56" fillId="0" borderId="7" xfId="0" applyFont="1" applyBorder="1" applyAlignment="1">
      <alignment horizontal="left" vertical="center" wrapText="1"/>
    </xf>
    <xf numFmtId="0" fontId="54" fillId="24" borderId="5" xfId="0" applyFont="1" applyFill="1" applyBorder="1" applyAlignment="1">
      <alignment horizontal="center" vertical="center" wrapText="1"/>
    </xf>
    <xf numFmtId="0" fontId="0" fillId="28" borderId="0" xfId="0" applyFill="1" applyAlignment="1">
      <alignment horizontal="center" vertical="center" wrapText="1"/>
    </xf>
    <xf numFmtId="0" fontId="0" fillId="28" borderId="0" xfId="0" applyFill="1" applyAlignment="1">
      <alignment horizontal="center" vertical="center"/>
    </xf>
    <xf numFmtId="0" fontId="0" fillId="28" borderId="0" xfId="0" applyFill="1" applyAlignment="1">
      <alignment horizontal="center" wrapText="1"/>
    </xf>
    <xf numFmtId="0" fontId="0" fillId="28" borderId="0" xfId="0" applyFill="1" applyAlignment="1">
      <alignment horizontal="center"/>
    </xf>
    <xf numFmtId="0" fontId="90" fillId="8" borderId="41" xfId="19" applyFont="1" applyFill="1" applyBorder="1" applyAlignment="1">
      <alignment horizontal="left" vertical="center"/>
    </xf>
    <xf numFmtId="0" fontId="90" fillId="8" borderId="19" xfId="19" applyFont="1" applyFill="1" applyBorder="1" applyAlignment="1">
      <alignment horizontal="left" vertical="center"/>
    </xf>
    <xf numFmtId="0" fontId="90" fillId="28" borderId="29" xfId="19" applyFont="1" applyFill="1" applyBorder="1" applyAlignment="1">
      <alignment horizontal="left" vertical="center"/>
    </xf>
    <xf numFmtId="0" fontId="90" fillId="28" borderId="1" xfId="19" applyFont="1" applyFill="1" applyBorder="1" applyAlignment="1">
      <alignment horizontal="left" vertical="center"/>
    </xf>
    <xf numFmtId="0" fontId="90" fillId="28" borderId="29" xfId="19" quotePrefix="1" applyFont="1" applyFill="1" applyBorder="1" applyAlignment="1">
      <alignment horizontal="left" vertical="center"/>
    </xf>
    <xf numFmtId="0" fontId="90" fillId="28" borderId="1" xfId="19" quotePrefix="1" applyFont="1" applyFill="1" applyBorder="1" applyAlignment="1">
      <alignment horizontal="left" vertical="center"/>
    </xf>
    <xf numFmtId="0" fontId="90" fillId="28" borderId="39" xfId="19" applyFont="1" applyFill="1" applyBorder="1" applyAlignment="1">
      <alignment horizontal="left" vertical="center"/>
    </xf>
    <xf numFmtId="0" fontId="90" fillId="28" borderId="16" xfId="19" applyFont="1" applyFill="1" applyBorder="1" applyAlignment="1">
      <alignment horizontal="left" vertical="center"/>
    </xf>
    <xf numFmtId="0" fontId="90" fillId="28" borderId="40" xfId="19" applyFont="1" applyFill="1" applyBorder="1" applyAlignment="1">
      <alignment horizontal="left" vertical="center"/>
    </xf>
    <xf numFmtId="0" fontId="90" fillId="28" borderId="12" xfId="19" applyFont="1" applyFill="1" applyBorder="1" applyAlignment="1">
      <alignment horizontal="left" vertical="center"/>
    </xf>
    <xf numFmtId="0" fontId="90" fillId="25" borderId="27" xfId="19" applyFont="1" applyFill="1" applyBorder="1" applyAlignment="1">
      <alignment horizontal="center" vertical="center" wrapText="1"/>
    </xf>
    <xf numFmtId="0" fontId="90" fillId="25" borderId="18" xfId="19" applyFont="1" applyFill="1" applyBorder="1" applyAlignment="1">
      <alignment horizontal="center" vertical="center" wrapText="1"/>
    </xf>
    <xf numFmtId="0" fontId="90" fillId="25" borderId="28" xfId="19" applyFont="1" applyFill="1" applyBorder="1" applyAlignment="1">
      <alignment horizontal="center" vertical="center" wrapText="1"/>
    </xf>
    <xf numFmtId="172" fontId="90" fillId="33" borderId="29" xfId="20" applyNumberFormat="1" applyFont="1" applyFill="1" applyBorder="1" applyAlignment="1" applyProtection="1">
      <alignment horizontal="center" vertical="center"/>
      <protection locked="0"/>
    </xf>
    <xf numFmtId="172" fontId="90" fillId="33" borderId="1" xfId="20" applyNumberFormat="1" applyFont="1" applyFill="1" applyBorder="1" applyAlignment="1" applyProtection="1">
      <alignment horizontal="center" vertical="center"/>
      <protection locked="0"/>
    </xf>
    <xf numFmtId="172" fontId="90" fillId="33" borderId="30" xfId="20" applyNumberFormat="1" applyFont="1" applyFill="1" applyBorder="1" applyAlignment="1" applyProtection="1">
      <alignment horizontal="center" vertical="center"/>
      <protection locked="0"/>
    </xf>
    <xf numFmtId="0" fontId="90" fillId="25" borderId="29" xfId="19" applyFont="1" applyFill="1" applyBorder="1" applyAlignment="1">
      <alignment horizontal="center" wrapText="1"/>
    </xf>
    <xf numFmtId="0" fontId="90" fillId="25" borderId="1" xfId="19" applyFont="1" applyFill="1" applyBorder="1" applyAlignment="1">
      <alignment horizontal="center" wrapText="1"/>
    </xf>
    <xf numFmtId="0" fontId="90" fillId="25" borderId="30" xfId="19" applyFont="1" applyFill="1" applyBorder="1" applyAlignment="1">
      <alignment horizontal="center" wrapText="1"/>
    </xf>
    <xf numFmtId="172" fontId="90" fillId="33" borderId="31" xfId="20" applyNumberFormat="1" applyFont="1" applyFill="1" applyBorder="1" applyAlignment="1" applyProtection="1">
      <alignment horizontal="center" vertical="center"/>
      <protection locked="0"/>
    </xf>
    <xf numFmtId="172" fontId="90" fillId="33" borderId="32" xfId="20" applyNumberFormat="1" applyFont="1" applyFill="1" applyBorder="1" applyAlignment="1" applyProtection="1">
      <alignment horizontal="center" vertical="center"/>
      <protection locked="0"/>
    </xf>
    <xf numFmtId="172" fontId="90" fillId="33" borderId="33" xfId="20" applyNumberFormat="1" applyFont="1" applyFill="1" applyBorder="1" applyAlignment="1" applyProtection="1">
      <alignment horizontal="center" vertical="center"/>
      <protection locked="0"/>
    </xf>
    <xf numFmtId="0" fontId="90" fillId="25" borderId="34" xfId="19" applyFont="1" applyFill="1" applyBorder="1" applyAlignment="1">
      <alignment horizontal="left" vertical="center"/>
    </xf>
    <xf numFmtId="0" fontId="90" fillId="25" borderId="35" xfId="19" applyFont="1" applyFill="1" applyBorder="1" applyAlignment="1">
      <alignment horizontal="left" vertical="center"/>
    </xf>
    <xf numFmtId="0" fontId="90" fillId="28" borderId="29" xfId="19" applyFont="1" applyFill="1" applyBorder="1" applyAlignment="1">
      <alignment horizontal="left"/>
    </xf>
    <xf numFmtId="0" fontId="90" fillId="28" borderId="1" xfId="19" applyFont="1" applyFill="1" applyBorder="1" applyAlignment="1">
      <alignment horizontal="left"/>
    </xf>
    <xf numFmtId="0" fontId="90" fillId="28" borderId="31" xfId="19" applyFont="1" applyFill="1" applyBorder="1" applyAlignment="1">
      <alignment horizontal="left"/>
    </xf>
    <xf numFmtId="0" fontId="90" fillId="28" borderId="32" xfId="19" applyFont="1" applyFill="1" applyBorder="1" applyAlignment="1">
      <alignment horizontal="left"/>
    </xf>
    <xf numFmtId="0" fontId="90" fillId="28" borderId="27" xfId="19" applyFont="1" applyFill="1" applyBorder="1" applyAlignment="1">
      <alignment horizontal="left"/>
    </xf>
    <xf numFmtId="0" fontId="90" fillId="28" borderId="18" xfId="19" applyFont="1" applyFill="1" applyBorder="1" applyAlignment="1">
      <alignment horizontal="left"/>
    </xf>
    <xf numFmtId="0" fontId="90" fillId="28" borderId="29" xfId="19" quotePrefix="1" applyFont="1" applyFill="1" applyBorder="1" applyAlignment="1">
      <alignment horizontal="left"/>
    </xf>
    <xf numFmtId="0" fontId="90" fillId="28" borderId="1" xfId="19" quotePrefix="1" applyFont="1" applyFill="1" applyBorder="1" applyAlignment="1">
      <alignment horizontal="left"/>
    </xf>
    <xf numFmtId="0" fontId="82" fillId="0" borderId="27" xfId="19" applyBorder="1" applyAlignment="1">
      <alignment horizontal="center"/>
    </xf>
    <xf numFmtId="0" fontId="82" fillId="0" borderId="29" xfId="19" applyBorder="1" applyAlignment="1">
      <alignment horizontal="center"/>
    </xf>
    <xf numFmtId="0" fontId="82" fillId="0" borderId="31" xfId="19" applyBorder="1" applyAlignment="1">
      <alignment horizontal="center"/>
    </xf>
    <xf numFmtId="0" fontId="85" fillId="0" borderId="18" xfId="19" applyFont="1" applyBorder="1" applyAlignment="1">
      <alignment horizontal="center" vertical="center"/>
    </xf>
    <xf numFmtId="0" fontId="85" fillId="0" borderId="28" xfId="19" applyFont="1" applyBorder="1" applyAlignment="1">
      <alignment horizontal="center" vertical="center"/>
    </xf>
    <xf numFmtId="0" fontId="86" fillId="0" borderId="1" xfId="19" applyFont="1" applyBorder="1" applyAlignment="1">
      <alignment horizontal="left" vertical="center" wrapText="1"/>
    </xf>
    <xf numFmtId="0" fontId="86" fillId="7" borderId="32" xfId="19" applyFont="1" applyFill="1" applyBorder="1" applyAlignment="1">
      <alignment horizontal="left" vertical="center" wrapText="1"/>
    </xf>
    <xf numFmtId="0" fontId="90" fillId="28" borderId="10" xfId="19" applyFont="1" applyFill="1" applyBorder="1" applyAlignment="1">
      <alignment horizontal="left"/>
    </xf>
    <xf numFmtId="0" fontId="90" fillId="28" borderId="16" xfId="19" applyFont="1" applyFill="1" applyBorder="1" applyAlignment="1">
      <alignment horizontal="left"/>
    </xf>
  </cellXfs>
  <cellStyles count="24">
    <cellStyle name="Bad 2" xfId="1" xr:uid="{00000000-0005-0000-0000-000000000000}"/>
    <cellStyle name="Bad 2 2" xfId="10" xr:uid="{080FB092-4DED-4B08-B439-B8CDAABB8806}"/>
    <cellStyle name="Calculation 2" xfId="2" xr:uid="{00000000-0005-0000-0000-000001000000}"/>
    <cellStyle name="Calculation 2 2" xfId="11" xr:uid="{56B66CB1-EEF6-44CC-83D9-CC39F752076F}"/>
    <cellStyle name="Comma 2" xfId="22" xr:uid="{BA54D519-0465-43B7-98A0-8D27B844EF66}"/>
    <cellStyle name="Comma 2 2" xfId="23" xr:uid="{B60A193D-3E3B-421A-A166-ED8169FADBB8}"/>
    <cellStyle name="Good 2" xfId="12" xr:uid="{27AAAD1E-541A-44E0-BEF8-DE5F3A14ACDF}"/>
    <cellStyle name="Hyperlink" xfId="3" builtinId="8"/>
    <cellStyle name="Hyperlink 2" xfId="4" xr:uid="{00000000-0005-0000-0000-000004000000}"/>
    <cellStyle name="Hyperlink 2 2" xfId="14" xr:uid="{A1DD3FEE-AEA1-4296-87B6-4D2705FBE16F}"/>
    <cellStyle name="Hyperlink 3" xfId="13" xr:uid="{7EE4E608-F8C8-428B-B964-F9EDBDCF7F28}"/>
    <cellStyle name="Hyperlink 4" xfId="18" xr:uid="{A2C5B809-DEC9-4F79-A6E7-78DF518AAAFF}"/>
    <cellStyle name="Normal" xfId="0" builtinId="0"/>
    <cellStyle name="Normal 2" xfId="9" xr:uid="{EE2FA8A9-2023-4F4F-A308-1B29E93E3D85}"/>
    <cellStyle name="Normal 2 2" xfId="19" xr:uid="{72B7DF9E-A048-41EA-A049-BC1BD66F4437}"/>
    <cellStyle name="Normal 3" xfId="5" xr:uid="{00000000-0005-0000-0000-000006000000}"/>
    <cellStyle name="Normal 4" xfId="6" xr:uid="{00000000-0005-0000-0000-000007000000}"/>
    <cellStyle name="Normal 5" xfId="17" xr:uid="{5A798CBA-8339-4603-A584-22C8BA0668CF}"/>
    <cellStyle name="Normal 6" xfId="21" xr:uid="{239ED889-D835-43A4-B161-75EEC18F9D6E}"/>
    <cellStyle name="Note 2" xfId="15" xr:uid="{22967C34-4232-410F-9D5D-D0CDA4BC0472}"/>
    <cellStyle name="Percent" xfId="7" builtinId="5"/>
    <cellStyle name="Percent 2" xfId="8" xr:uid="{00000000-0005-0000-0000-00000A000000}"/>
    <cellStyle name="Percent 3" xfId="16" xr:uid="{F2EE87CE-71F5-4185-8723-1CA614FA8648}"/>
    <cellStyle name="常规 2 2" xfId="20" xr:uid="{AF7C1340-91E5-4115-9F10-EFDB29197043}"/>
  </cellStyles>
  <dxfs count="111">
    <dxf>
      <font>
        <color rgb="FFC00000"/>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theme="2" tint="-9.9948118533890809E-2"/>
        </patternFill>
      </fill>
    </dxf>
    <dxf>
      <fill>
        <patternFill>
          <bgColor theme="2" tint="-9.9948118533890809E-2"/>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9" tint="0.79998168889431442"/>
        </patternFill>
      </fill>
    </dxf>
    <dxf>
      <fill>
        <patternFill>
          <bgColor theme="9" tint="0.79998168889431442"/>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99"/>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center" vertical="center" textRotation="0" wrapText="1" indent="0" justifyLastLine="0" shrinkToFit="0" readingOrder="0"/>
      <border diagonalUp="0" diagonalDown="0">
        <left/>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fill>
        <patternFill patternType="solid">
          <fgColor indexed="64"/>
          <bgColor rgb="FFFFFF99"/>
        </patternFill>
      </fill>
      <alignment horizontal="center" vertical="center" textRotation="0" wrapText="1" indent="0" justifyLastLine="0" shrinkToFit="0" readingOrder="0"/>
      <protection locked="0" hidden="0"/>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s>
  <tableStyles count="0" defaultTableStyle="TableStyleMedium2" defaultPivotStyle="PivotStyleLight16"/>
  <colors>
    <mruColors>
      <color rgb="FFFFFF99"/>
      <color rgb="FFDDD9C4"/>
      <color rgb="FFF9F9F9"/>
      <color rgb="FFFFFFFF"/>
      <color rgb="FFD3D9C4"/>
      <color rgb="FF000000"/>
      <color rgb="FFDDDDDD"/>
      <color rgb="FF808080"/>
      <color rgb="FFFF6600"/>
      <color rgb="FF9BBB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Number of workers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'DE Production Structure'!$D$3</c:f>
              <c:strCache>
                <c:ptCount val="1"/>
                <c:pt idx="0">
                  <c:v>Number of workers</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'DE Production Structure'!$B$4:$B$13</c15:sqref>
                  </c15:fullRef>
                </c:ext>
              </c:extLst>
              <c:f>'DE Production Structure'!$B$5:$B$13</c:f>
              <c:strCache>
                <c:ptCount val="5"/>
                <c:pt idx="0">
                  <c:v>Management/General admin</c:v>
                </c:pt>
                <c:pt idx="1">
                  <c:v>Non-production: (Finances, Sales, etc.)</c:v>
                </c:pt>
                <c:pt idx="2">
                  <c:v>Production</c:v>
                </c:pt>
                <c:pt idx="3">
                  <c:v>Security guards</c:v>
                </c:pt>
                <c:pt idx="4">
                  <c:v>Canteen staff</c:v>
                </c:pt>
              </c:strCache>
            </c:strRef>
          </c:cat>
          <c:val>
            <c:numRef>
              <c:extLst>
                <c:ext xmlns:c15="http://schemas.microsoft.com/office/drawing/2012/chart" uri="{02D57815-91ED-43cb-92C2-25804820EDAC}">
                  <c15:fullRef>
                    <c15:sqref>'DE Production Structure'!$D$4:$D$13</c15:sqref>
                  </c15:fullRef>
                </c:ext>
              </c:extLst>
              <c:f>'DE Production Structure'!$D$5:$D$13</c:f>
              <c:numCache>
                <c:formatCode>General</c:formatCode>
                <c:ptCount val="5"/>
                <c:pt idx="0">
                  <c:v>2</c:v>
                </c:pt>
                <c:pt idx="1">
                  <c:v>3</c:v>
                </c:pt>
                <c:pt idx="2">
                  <c:v>34</c:v>
                </c:pt>
              </c:numCache>
            </c:numRef>
          </c:val>
          <c:extLst>
            <c:ext xmlns:c16="http://schemas.microsoft.com/office/drawing/2014/chart" uri="{C3380CC4-5D6E-409C-BE32-E72D297353CC}">
              <c16:uniqueId val="{00000001-306D-41B6-B0F3-C3C5A1D3607C}"/>
            </c:ext>
          </c:extLst>
        </c:ser>
        <c:dLbls>
          <c:dLblPos val="outEnd"/>
          <c:showLegendKey val="0"/>
          <c:showVal val="1"/>
          <c:showCatName val="0"/>
          <c:showSerName val="0"/>
          <c:showPercent val="0"/>
          <c:showBubbleSize val="0"/>
        </c:dLbls>
        <c:gapWidth val="355"/>
        <c:overlap val="-70"/>
        <c:axId val="123682624"/>
        <c:axId val="19761408"/>
        <c:extLst>
          <c:ext xmlns:c15="http://schemas.microsoft.com/office/drawing/2012/chart" uri="{02D57815-91ED-43cb-92C2-25804820EDAC}">
            <c15:filteredBarSeries>
              <c15:ser>
                <c:idx val="0"/>
                <c:order val="0"/>
                <c:tx>
                  <c:strRef>
                    <c:extLst>
                      <c:ext uri="{02D57815-91ED-43cb-92C2-25804820EDAC}">
                        <c15:formulaRef>
                          <c15:sqref>'DE Production Structure'!$C$3</c15:sqref>
                        </c15:formulaRef>
                      </c:ext>
                    </c:extLst>
                    <c:strCache>
                      <c:ptCount val="1"/>
                      <c:pt idx="0">
                        <c:v>If other, please specify</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ullRef>
                          <c15:sqref>'DE Production Structure'!$B$4:$B$13</c15:sqref>
                        </c15:fullRef>
                        <c15:formulaRef>
                          <c15:sqref>'DE Production Structure'!$B$5:$B$13</c15:sqref>
                        </c15:formulaRef>
                      </c:ext>
                    </c:extLst>
                    <c:strCache>
                      <c:ptCount val="5"/>
                      <c:pt idx="0">
                        <c:v>Management/General admin</c:v>
                      </c:pt>
                      <c:pt idx="1">
                        <c:v>Non-production: (Finances, Sales, etc.)</c:v>
                      </c:pt>
                      <c:pt idx="2">
                        <c:v>Production</c:v>
                      </c:pt>
                      <c:pt idx="3">
                        <c:v>Security guards</c:v>
                      </c:pt>
                      <c:pt idx="4">
                        <c:v>Canteen staff</c:v>
                      </c:pt>
                    </c:strCache>
                  </c:strRef>
                </c:cat>
                <c:val>
                  <c:numRef>
                    <c:extLst>
                      <c:ext uri="{02D57815-91ED-43cb-92C2-25804820EDAC}">
                        <c15:fullRef>
                          <c15:sqref>'DE Production Structure'!$C$4:$C$13</c15:sqref>
                        </c15:fullRef>
                        <c15:formulaRef>
                          <c15:sqref>'DE Production Structure'!$C$5:$C$13</c15:sqref>
                        </c15:formulaRef>
                      </c:ext>
                    </c:extLst>
                    <c:numCache>
                      <c:formatCode>General</c:formatCode>
                      <c:ptCount val="5"/>
                    </c:numCache>
                  </c:numRef>
                </c:val>
                <c:extLst>
                  <c:ext xmlns:c16="http://schemas.microsoft.com/office/drawing/2014/chart" uri="{C3380CC4-5D6E-409C-BE32-E72D297353CC}">
                    <c16:uniqueId val="{00000000-306D-41B6-B0F3-C3C5A1D3607C}"/>
                  </c:ext>
                </c:extLst>
              </c15:ser>
            </c15:filteredBarSeries>
          </c:ext>
        </c:extLst>
      </c:barChart>
      <c:catAx>
        <c:axId val="12368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1408"/>
        <c:crosses val="autoZero"/>
        <c:auto val="1"/>
        <c:lblAlgn val="ctr"/>
        <c:lblOffset val="100"/>
        <c:noMultiLvlLbl val="0"/>
      </c:catAx>
      <c:valAx>
        <c:axId val="19761408"/>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8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1"/>
    </mc:Choice>
    <mc:Fallback>
      <c:style val="21"/>
    </mc:Fallback>
  </mc:AlternateContent>
  <c:chart>
    <c:autoTitleDeleted val="0"/>
    <c:plotArea>
      <c:layout>
        <c:manualLayout>
          <c:layoutTarget val="inner"/>
          <c:xMode val="edge"/>
          <c:yMode val="edge"/>
          <c:x val="0.17704296974078321"/>
          <c:y val="4.6979942749748899E-2"/>
          <c:w val="0.79377507312351148"/>
          <c:h val="0.61409496594314628"/>
        </c:manualLayout>
      </c:layout>
      <c:lineChart>
        <c:grouping val="standard"/>
        <c:varyColors val="0"/>
        <c:ser>
          <c:idx val="0"/>
          <c:order val="0"/>
          <c:marker>
            <c:symbol val="none"/>
          </c:marker>
          <c:cat>
            <c:multiLvlStrRef>
              <c:f>'DE Employment Structure'!$B$7:$B$18</c:f>
            </c:multiLvlStrRef>
          </c:cat>
          <c:val>
            <c:numRef>
              <c:f>'Drop down'!$AE$17:$AE$28</c:f>
              <c:numCache>
                <c:formatCode>0</c:formatCode>
                <c:ptCount val="12"/>
                <c:pt idx="0">
                  <c:v>2</c:v>
                </c:pt>
                <c:pt idx="1">
                  <c:v>2</c:v>
                </c:pt>
                <c:pt idx="2">
                  <c:v>2</c:v>
                </c:pt>
                <c:pt idx="3">
                  <c:v>2</c:v>
                </c:pt>
                <c:pt idx="4">
                  <c:v>2</c:v>
                </c:pt>
                <c:pt idx="5">
                  <c:v>2</c:v>
                </c:pt>
                <c:pt idx="6">
                  <c:v>2</c:v>
                </c:pt>
                <c:pt idx="7">
                  <c:v>2</c:v>
                </c:pt>
                <c:pt idx="8">
                  <c:v>2</c:v>
                </c:pt>
                <c:pt idx="9">
                  <c:v>2</c:v>
                </c:pt>
                <c:pt idx="10">
                  <c:v>2</c:v>
                </c:pt>
                <c:pt idx="11">
                  <c:v>2</c:v>
                </c:pt>
              </c:numCache>
            </c:numRef>
          </c:val>
          <c:smooth val="0"/>
          <c:extLst>
            <c:ext xmlns:c16="http://schemas.microsoft.com/office/drawing/2014/chart" uri="{C3380CC4-5D6E-409C-BE32-E72D297353CC}">
              <c16:uniqueId val="{00000000-F003-43A1-A1EE-73135DF51A05}"/>
            </c:ext>
          </c:extLst>
        </c:ser>
        <c:dLbls>
          <c:showLegendKey val="0"/>
          <c:showVal val="0"/>
          <c:showCatName val="0"/>
          <c:showSerName val="0"/>
          <c:showPercent val="0"/>
          <c:showBubbleSize val="0"/>
        </c:dLbls>
        <c:smooth val="0"/>
        <c:axId val="516934200"/>
        <c:axId val="1"/>
      </c:lineChart>
      <c:catAx>
        <c:axId val="516934200"/>
        <c:scaling>
          <c:orientation val="minMax"/>
        </c:scaling>
        <c:delete val="0"/>
        <c:axPos val="b"/>
        <c:title>
          <c:tx>
            <c:rich>
              <a:bodyPr/>
              <a:lstStyle/>
              <a:p>
                <a:pPr>
                  <a:defRPr sz="1100" b="1" i="0" u="none" strike="noStrike" baseline="0">
                    <a:solidFill>
                      <a:srgbClr val="000000"/>
                    </a:solidFill>
                    <a:latin typeface="Calibri"/>
                    <a:ea typeface="Calibri"/>
                    <a:cs typeface="Calibri"/>
                  </a:defRPr>
                </a:pPr>
                <a:r>
                  <a:rPr lang="en-US" altLang="zh-TW"/>
                  <a:t>Month</a:t>
                </a:r>
              </a:p>
            </c:rich>
          </c:tx>
          <c:layout>
            <c:manualLayout>
              <c:xMode val="edge"/>
              <c:yMode val="edge"/>
              <c:x val="0.88275031194871123"/>
              <c:y val="0.8578833518293435"/>
            </c:manualLayout>
          </c:layout>
          <c:overlay val="0"/>
        </c:title>
        <c:numFmt formatCode="General" sourceLinked="1"/>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noMultiLvlLbl val="0"/>
      </c:catAx>
      <c:valAx>
        <c:axId val="1"/>
        <c:scaling>
          <c:orientation val="minMax"/>
          <c:max val="3.5"/>
          <c:min val="1"/>
        </c:scaling>
        <c:delete val="0"/>
        <c:axPos val="l"/>
        <c:majorGridlines/>
        <c:title>
          <c:tx>
            <c:rich>
              <a:bodyPr rot="0" vert="horz"/>
              <a:lstStyle/>
              <a:p>
                <a:pPr algn="ctr">
                  <a:defRPr sz="1100" b="1" i="0" u="none" strike="noStrike" baseline="0">
                    <a:solidFill>
                      <a:srgbClr val="000000"/>
                    </a:solidFill>
                    <a:latin typeface="Calibri"/>
                    <a:ea typeface="Calibri"/>
                    <a:cs typeface="Calibri"/>
                  </a:defRPr>
                </a:pPr>
                <a:r>
                  <a:rPr lang="en-US" altLang="zh-TW"/>
                  <a:t>Level of  activity</a:t>
                </a:r>
              </a:p>
            </c:rich>
          </c:tx>
          <c:layout>
            <c:manualLayout>
              <c:xMode val="edge"/>
              <c:yMode val="edge"/>
              <c:x val="8.2735252355750615E-3"/>
              <c:y val="2.4516901830224243E-3"/>
            </c:manualLayout>
          </c:layout>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16934200"/>
        <c:crosses val="autoZero"/>
        <c:crossBetween val="between"/>
        <c:maj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16"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K53" lockText="1"/>
</file>

<file path=xl/ctrlProps/ctrlProp42.xml><?xml version="1.0" encoding="utf-8"?>
<formControlPr xmlns="http://schemas.microsoft.com/office/spreadsheetml/2009/9/main" objectType="CheckBox" fmlaLink="K55" lockText="1"/>
</file>

<file path=xl/ctrlProps/ctrlProp43.xml><?xml version="1.0" encoding="utf-8"?>
<formControlPr xmlns="http://schemas.microsoft.com/office/spreadsheetml/2009/9/main" objectType="CheckBox" checked="Checked" fmlaLink="G88" lockText="1"/>
</file>

<file path=xl/ctrlProps/ctrlProp44.xml><?xml version="1.0" encoding="utf-8"?>
<formControlPr xmlns="http://schemas.microsoft.com/office/spreadsheetml/2009/9/main" objectType="CheckBox" checked="Checked" fmlaLink="H88" lockText="1"/>
</file>

<file path=xl/ctrlProps/ctrlProp45.xml><?xml version="1.0" encoding="utf-8"?>
<formControlPr xmlns="http://schemas.microsoft.com/office/spreadsheetml/2009/9/main" objectType="CheckBox" checked="Checked" fmlaLink="B131" lockText="1"/>
</file>

<file path=xl/ctrlProps/ctrlProp46.xml><?xml version="1.0" encoding="utf-8"?>
<formControlPr xmlns="http://schemas.microsoft.com/office/spreadsheetml/2009/9/main" objectType="CheckBox" checked="Checked" fmlaLink="B135" lockText="1"/>
</file>

<file path=xl/ctrlProps/ctrlProp47.xml><?xml version="1.0" encoding="utf-8"?>
<formControlPr xmlns="http://schemas.microsoft.com/office/spreadsheetml/2009/9/main" objectType="CheckBox" checked="Checked" fmlaLink="B139" lockText="1"/>
</file>

<file path=xl/ctrlProps/ctrlProp48.xml><?xml version="1.0" encoding="utf-8"?>
<formControlPr xmlns="http://schemas.microsoft.com/office/spreadsheetml/2009/9/main" objectType="CheckBox" checked="Checked" fmlaLink="B149" lockText="1"/>
</file>

<file path=xl/ctrlProps/ctrlProp49.xml><?xml version="1.0" encoding="utf-8"?>
<formControlPr xmlns="http://schemas.microsoft.com/office/spreadsheetml/2009/9/main" objectType="CheckBox" checked="Checked" fmlaLink="C149" lockText="1"/>
</file>

<file path=xl/ctrlProps/ctrlProp50.xml><?xml version="1.0" encoding="utf-8"?>
<formControlPr xmlns="http://schemas.microsoft.com/office/spreadsheetml/2009/9/main" objectType="CheckBox" checked="Checked" fmlaLink="D149" lockText="1"/>
</file>

<file path=xl/ctrlProps/ctrlProp51.xml><?xml version="1.0" encoding="utf-8"?>
<formControlPr xmlns="http://schemas.microsoft.com/office/spreadsheetml/2009/9/main" objectType="CheckBox" checked="Checked" fmlaLink="C146" lockText="1"/>
</file>

<file path=xl/ctrlProps/ctrlProp52.xml><?xml version="1.0" encoding="utf-8"?>
<formControlPr xmlns="http://schemas.microsoft.com/office/spreadsheetml/2009/9/main" objectType="CheckBox" checked="Checked" fmlaLink="C165" lockText="1"/>
</file>

<file path=xl/ctrlProps/ctrlProp53.xml><?xml version="1.0" encoding="utf-8"?>
<formControlPr xmlns="http://schemas.microsoft.com/office/spreadsheetml/2009/9/main" objectType="CheckBox" checked="Checked" fmlaLink="E165" lockText="1"/>
</file>

<file path=xl/ctrlProps/ctrlProp54.xml><?xml version="1.0" encoding="utf-8"?>
<formControlPr xmlns="http://schemas.microsoft.com/office/spreadsheetml/2009/9/main" objectType="CheckBox" checked="Checked" fmlaLink="G165" lockText="1"/>
</file>

<file path=xl/ctrlProps/ctrlProp55.xml><?xml version="1.0" encoding="utf-8"?>
<formControlPr xmlns="http://schemas.microsoft.com/office/spreadsheetml/2009/9/main" objectType="CheckBox" checked="Checked" fmlaLink="B165" lockText="1"/>
</file>

<file path=xl/ctrlProps/ctrlProp56.xml><?xml version="1.0" encoding="utf-8"?>
<formControlPr xmlns="http://schemas.microsoft.com/office/spreadsheetml/2009/9/main" objectType="CheckBox" checked="Checked" fmlaLink="G131" lockText="1"/>
</file>

<file path=xl/ctrlProps/ctrlProp57.xml><?xml version="1.0" encoding="utf-8"?>
<formControlPr xmlns="http://schemas.microsoft.com/office/spreadsheetml/2009/9/main" objectType="CheckBox" checked="Checked" fmlaLink="H135" lockText="1"/>
</file>

<file path=xl/ctrlProps/ctrlProp58.xml><?xml version="1.0" encoding="utf-8"?>
<formControlPr xmlns="http://schemas.microsoft.com/office/spreadsheetml/2009/9/main" objectType="CheckBox" checked="Checked" fmlaLink="B119" lockText="1"/>
</file>

<file path=xl/ctrlProps/ctrlProp59.xml><?xml version="1.0" encoding="utf-8"?>
<formControlPr xmlns="http://schemas.microsoft.com/office/spreadsheetml/2009/9/main" objectType="CheckBox" checked="Checked" fmlaLink="B112" lockText="1"/>
</file>

<file path=xl/ctrlProps/ctrlProp60.xml><?xml version="1.0" encoding="utf-8"?>
<formControlPr xmlns="http://schemas.microsoft.com/office/spreadsheetml/2009/9/main" objectType="CheckBox" checked="Checked" fmlaLink="D112" lockText="1"/>
</file>

<file path=xl/ctrlProps/ctrlProp61.xml><?xml version="1.0" encoding="utf-8"?>
<formControlPr xmlns="http://schemas.microsoft.com/office/spreadsheetml/2009/9/main" objectType="CheckBox" checked="Checked" fmlaLink="F116" lockText="1"/>
</file>

<file path=xl/ctrlProps/ctrlProp62.xml><?xml version="1.0" encoding="utf-8"?>
<formControlPr xmlns="http://schemas.microsoft.com/office/spreadsheetml/2009/9/main" objectType="CheckBox" checked="Checked" fmlaLink="G116" lockText="1"/>
</file>

<file path=xl/ctrlProps/ctrlProp63.xml><?xml version="1.0" encoding="utf-8"?>
<formControlPr xmlns="http://schemas.microsoft.com/office/spreadsheetml/2009/9/main" objectType="CheckBox" checked="Checked" fmlaLink="H116" lockText="1"/>
</file>

<file path=xl/ctrlProps/ctrlProp64.xml><?xml version="1.0" encoding="utf-8"?>
<formControlPr xmlns="http://schemas.microsoft.com/office/spreadsheetml/2009/9/main" objectType="CheckBox" checked="Checked" fmlaLink="L116" lockText="1"/>
</file>

<file path=xl/ctrlProps/ctrlProp65.xml><?xml version="1.0" encoding="utf-8"?>
<formControlPr xmlns="http://schemas.microsoft.com/office/spreadsheetml/2009/9/main" objectType="CheckBox" checked="Checked" fmlaLink="K116" lockText="1"/>
</file>

<file path=xl/ctrlProps/ctrlProp66.xml><?xml version="1.0" encoding="utf-8"?>
<formControlPr xmlns="http://schemas.microsoft.com/office/spreadsheetml/2009/9/main" objectType="CheckBox" checked="Checked" fmlaLink="D121" lockText="1"/>
</file>

<file path=xl/ctrlProps/ctrlProp67.xml><?xml version="1.0" encoding="utf-8"?>
<formControlPr xmlns="http://schemas.microsoft.com/office/spreadsheetml/2009/9/main" objectType="CheckBox" fmlaLink="B124" lockText="1"/>
</file>

<file path=xl/ctrlProps/ctrlProp68.xml><?xml version="1.0" encoding="utf-8"?>
<formControlPr xmlns="http://schemas.microsoft.com/office/spreadsheetml/2009/9/main" objectType="CheckBox" checked="Checked" fmlaLink="C124" lockText="1"/>
</file>

<file path=xl/ctrlProps/ctrlProp69.xml><?xml version="1.0" encoding="utf-8"?>
<formControlPr xmlns="http://schemas.microsoft.com/office/spreadsheetml/2009/9/main" objectType="CheckBox" checked="Checked" fmlaLink="E124" lockText="1"/>
</file>

<file path=xl/ctrlProps/ctrlProp70.xml><?xml version="1.0" encoding="utf-8"?>
<formControlPr xmlns="http://schemas.microsoft.com/office/spreadsheetml/2009/9/main" objectType="CheckBox" checked="Checked" fmlaLink="B80" lockText="1"/>
</file>

<file path=xl/ctrlProps/ctrlProp71.xml><?xml version="1.0" encoding="utf-8"?>
<formControlPr xmlns="http://schemas.microsoft.com/office/spreadsheetml/2009/9/main" objectType="CheckBox" fmlaLink="B84" lockText="1"/>
</file>

<file path=xl/ctrlProps/ctrlProp72.xml><?xml version="1.0" encoding="utf-8"?>
<formControlPr xmlns="http://schemas.microsoft.com/office/spreadsheetml/2009/9/main" objectType="CheckBox" checked="Checked" fmlaLink="B101" lockText="1"/>
</file>

<file path=xl/ctrlProps/ctrlProp73.xml><?xml version="1.0" encoding="utf-8"?>
<formControlPr xmlns="http://schemas.microsoft.com/office/spreadsheetml/2009/9/main" objectType="CheckBox" checked="Checked" fmlaLink="C101" lockText="1"/>
</file>

<file path=xl/ctrlProps/ctrlProp74.xml><?xml version="1.0" encoding="utf-8"?>
<formControlPr xmlns="http://schemas.microsoft.com/office/spreadsheetml/2009/9/main" objectType="CheckBox" checked="Checked" fmlaLink="G101" lockText="1"/>
</file>

<file path=xl/ctrlProps/ctrlProp75.xml><?xml version="1.0" encoding="utf-8"?>
<formControlPr xmlns="http://schemas.microsoft.com/office/spreadsheetml/2009/9/main" objectType="CheckBox" checked="Checked" fmlaLink="D101" lockText="1"/>
</file>

<file path=xl/ctrlProps/ctrlProp76.xml><?xml version="1.0" encoding="utf-8"?>
<formControlPr xmlns="http://schemas.microsoft.com/office/spreadsheetml/2009/9/main" objectType="CheckBox" fmlaLink="E101" lockText="1"/>
</file>

<file path=xl/ctrlProps/ctrlProp77.xml><?xml version="1.0" encoding="utf-8"?>
<formControlPr xmlns="http://schemas.microsoft.com/office/spreadsheetml/2009/9/main" objectType="CheckBox" checked="Checked" fmlaLink="C104" lockText="1"/>
</file>

<file path=xl/ctrlProps/ctrlProp78.xml><?xml version="1.0" encoding="utf-8"?>
<formControlPr xmlns="http://schemas.microsoft.com/office/spreadsheetml/2009/9/main" objectType="CheckBox" fmlaLink="I104" lockText="1"/>
</file>

<file path=xl/ctrlProps/ctrlProp79.xml><?xml version="1.0" encoding="utf-8"?>
<formControlPr xmlns="http://schemas.microsoft.com/office/spreadsheetml/2009/9/main" objectType="CheckBox" checked="Checked" fmlaLink="F104" lockText="1"/>
</file>

<file path=xl/ctrlProps/ctrlProp80.xml><?xml version="1.0" encoding="utf-8"?>
<formControlPr xmlns="http://schemas.microsoft.com/office/spreadsheetml/2009/9/main" objectType="CheckBox" fmlaLink="K104" lockText="1"/>
</file>

<file path=xl/ctrlProps/ctrlProp81.xml><?xml version="1.0" encoding="utf-8"?>
<formControlPr xmlns="http://schemas.microsoft.com/office/spreadsheetml/2009/9/main" objectType="CheckBox" fmlaLink="L104" lockText="1"/>
</file>

<file path=xl/ctrlProps/ctrlProp82.xml><?xml version="1.0" encoding="utf-8"?>
<formControlPr xmlns="http://schemas.microsoft.com/office/spreadsheetml/2009/9/main" objectType="CheckBox" fmlaLink="F128" lockText="1"/>
</file>

<file path=xl/ctrlProps/ctrlProp83.xml><?xml version="1.0" encoding="utf-8"?>
<formControlPr xmlns="http://schemas.microsoft.com/office/spreadsheetml/2009/9/main" objectType="CheckBox" fmlaLink="H128" lockText="1"/>
</file>

<file path=xl/ctrlProps/ctrlProp84.xml><?xml version="1.0" encoding="utf-8"?>
<formControlPr xmlns="http://schemas.microsoft.com/office/spreadsheetml/2009/9/main" objectType="CheckBox" checked="Checked" fmlaLink="B97" lockText="1"/>
</file>

<file path=xl/ctrlProps/ctrlProp85.xml><?xml version="1.0" encoding="utf-8"?>
<formControlPr xmlns="http://schemas.microsoft.com/office/spreadsheetml/2009/9/main" objectType="CheckBox" checked="Checked" fmlaLink="D97" lockText="1"/>
</file>

<file path=xl/ctrlProps/ctrlProp86.xml><?xml version="1.0" encoding="utf-8"?>
<formControlPr xmlns="http://schemas.microsoft.com/office/spreadsheetml/2009/9/main" objectType="CheckBox" checked="Checked" fmlaLink="G33" lockText="1"/>
</file>

<file path=xl/ctrlProps/ctrlProp87.xml><?xml version="1.0" encoding="utf-8"?>
<formControlPr xmlns="http://schemas.microsoft.com/office/spreadsheetml/2009/9/main" objectType="CheckBox" checked="Checked" fmlaLink="H33" lockText="1"/>
</file>

<file path=xl/ctrlProps/ctrlProp88.xml><?xml version="1.0" encoding="utf-8"?>
<formControlPr xmlns="http://schemas.microsoft.com/office/spreadsheetml/2009/9/main" objectType="CheckBox" checked="Checked" fmlaLink="E88" lockText="1"/>
</file>

<file path=xl/ctrlProps/ctrlProp89.xml><?xml version="1.0" encoding="utf-8"?>
<formControlPr xmlns="http://schemas.microsoft.com/office/spreadsheetml/2009/9/main" objectType="CheckBox" checked="Checked" fmlaLink="F88" lockText="1"/>
</file>

<file path=xl/ctrlProps/ctrlProp90.xml><?xml version="1.0" encoding="utf-8"?>
<formControlPr xmlns="http://schemas.microsoft.com/office/spreadsheetml/2009/9/main" objectType="CheckBox" checked="Checked" fmlaLink="G88" lockText="1"/>
</file>

<file path=xl/ctrlProps/ctrlProp91.xml><?xml version="1.0" encoding="utf-8"?>
<formControlPr xmlns="http://schemas.microsoft.com/office/spreadsheetml/2009/9/main" objectType="CheckBox" checked="Checked" fmlaLink="H88" lockText="1"/>
</file>

<file path=xl/ctrlProps/ctrlProp92.xml><?xml version="1.0" encoding="utf-8"?>
<formControlPr xmlns="http://schemas.microsoft.com/office/spreadsheetml/2009/9/main" objectType="CheckBox" fmlaLink="I33" lockText="1"/>
</file>

<file path=xl/ctrlProps/ctrlProp93.xml><?xml version="1.0" encoding="utf-8"?>
<formControlPr xmlns="http://schemas.microsoft.com/office/spreadsheetml/2009/9/main" objectType="CheckBox" checked="Checked" fmlaLink="E33" lockText="1"/>
</file>

<file path=xl/ctrlProps/ctrlProp94.xml><?xml version="1.0" encoding="utf-8"?>
<formControlPr xmlns="http://schemas.microsoft.com/office/spreadsheetml/2009/9/main" objectType="CheckBox" checked="Checked" fmlaLink="B42" lockText="1"/>
</file>

<file path=xl/ctrlProps/ctrlProp95.xml><?xml version="1.0" encoding="utf-8"?>
<formControlPr xmlns="http://schemas.microsoft.com/office/spreadsheetml/2009/9/main" objectType="CheckBox" checked="Checked" fmlaLink="E16" lockText="1"/>
</file>

<file path=xl/ctrlProps/ctrlProp96.xml><?xml version="1.0" encoding="utf-8"?>
<formControlPr xmlns="http://schemas.microsoft.com/office/spreadsheetml/2009/9/main" objectType="CheckBox" fmlaLink="L16" lockText="1"/>
</file>

<file path=xl/ctrlProps/ctrlProp97.xml><?xml version="1.0" encoding="utf-8"?>
<formControlPr xmlns="http://schemas.microsoft.com/office/spreadsheetml/2009/9/main" objectType="CheckBox" fmlaLink="D16" lockText="1"/>
</file>

<file path=xl/ctrlProps/ctrlProp98.xml><?xml version="1.0" encoding="utf-8"?>
<formControlPr xmlns="http://schemas.microsoft.com/office/spreadsheetml/2009/9/main" objectType="CheckBox" fmlaLink="B76" lockText="1"/>
</file>

<file path=xl/ctrlProps/ctrlProp99.xml><?xml version="1.0" encoding="utf-8"?>
<formControlPr xmlns="http://schemas.microsoft.com/office/spreadsheetml/2009/9/main" objectType="CheckBox" checked="Checked" fmlaLink="C76" lockText="1"/>
</file>

<file path=xl/ctrlProps/ctrlProp100.xml><?xml version="1.0" encoding="utf-8"?>
<formControlPr xmlns="http://schemas.microsoft.com/office/spreadsheetml/2009/9/main" objectType="CheckBox" checked="Checked" fmlaLink="D76" lockText="1"/>
</file>

<file path=xl/ctrlProps/ctrlProp101.xml><?xml version="1.0" encoding="utf-8"?>
<formControlPr xmlns="http://schemas.microsoft.com/office/spreadsheetml/2009/9/main" objectType="CheckBox" fmlaLink="F139" lockText="1"/>
</file>

<file path=xl/ctrlProps/ctrlProp102.xml><?xml version="1.0" encoding="utf-8"?>
<formControlPr xmlns="http://schemas.microsoft.com/office/spreadsheetml/2009/9/main" objectType="CheckBox" fmlaLink="B145" lockText="1"/>
</file>

<file path=xl/ctrlProps/ctrlProp103.xml><?xml version="1.0" encoding="utf-8"?>
<formControlPr xmlns="http://schemas.microsoft.com/office/spreadsheetml/2009/9/main" objectType="CheckBox" fmlaLink="D145" lockText="1"/>
</file>

<file path=xl/ctrlProps/ctrlProp104.xml><?xml version="1.0" encoding="utf-8"?>
<formControlPr xmlns="http://schemas.microsoft.com/office/spreadsheetml/2009/9/main" objectType="CheckBox" checked="Checked" fmlaLink="E145" lockText="1"/>
</file>

<file path=xl/ctrlProps/ctrlProp105.xml><?xml version="1.0" encoding="utf-8"?>
<formControlPr xmlns="http://schemas.microsoft.com/office/spreadsheetml/2009/9/main" objectType="CheckBox" checked="Checked" fmlaLink="C145" lockText="1"/>
</file>

<file path=xl/ctrlProps/ctrlProp106.xml><?xml version="1.0" encoding="utf-8"?>
<formControlPr xmlns="http://schemas.microsoft.com/office/spreadsheetml/2009/9/main" objectType="CheckBox" checked="Checked" fmlaLink="H145" lockText="1"/>
</file>

<file path=xl/ctrlProps/ctrlProp107.xml><?xml version="1.0" encoding="utf-8"?>
<formControlPr xmlns="http://schemas.microsoft.com/office/spreadsheetml/2009/9/main" objectType="CheckBox" fmlaLink="G145" lockText="1"/>
</file>

<file path=xl/ctrlProps/ctrlProp108.xml><?xml version="1.0" encoding="utf-8"?>
<formControlPr xmlns="http://schemas.microsoft.com/office/spreadsheetml/2009/9/main" objectType="CheckBox" checked="Checked" fmlaLink="F80" lockText="1"/>
</file>

<file path=xl/ctrlProps/ctrlProp109.xml><?xml version="1.0" encoding="utf-8"?>
<formControlPr xmlns="http://schemas.microsoft.com/office/spreadsheetml/2009/9/main" objectType="CheckBox" checked="Checked" fmlaLink="I128" lockText="1"/>
</file>

<file path=xl/ctrlProps/ctrlProp110.xml><?xml version="1.0" encoding="utf-8"?>
<formControlPr xmlns="http://schemas.microsoft.com/office/spreadsheetml/2009/9/main" objectType="CheckBox" checked="Checked" fmlaLink="B173" lockText="1"/>
</file>

<file path=xl/ctrlProps/ctrlProp111.xml><?xml version="1.0" encoding="utf-8"?>
<formControlPr xmlns="http://schemas.microsoft.com/office/spreadsheetml/2009/9/main" objectType="CheckBox" checked="Checked" fmlaLink="B156" lockText="1"/>
</file>

<file path=xl/ctrlProps/ctrlProp112.xml><?xml version="1.0" encoding="utf-8"?>
<formControlPr xmlns="http://schemas.microsoft.com/office/spreadsheetml/2009/9/main" objectType="CheckBox" checked="Checked" fmlaLink="B3" lockText="1"/>
</file>

<file path=xl/ctrlProps/ctrlProp113.xml><?xml version="1.0" encoding="utf-8"?>
<formControlPr xmlns="http://schemas.microsoft.com/office/spreadsheetml/2009/9/main" objectType="CheckBox" checked="Checked" fmlaLink="J128" lockText="1"/>
</file>

<file path=xl/ctrlProps/ctrlProp114.xml><?xml version="1.0" encoding="utf-8"?>
<formControlPr xmlns="http://schemas.microsoft.com/office/spreadsheetml/2009/9/main" objectType="CheckBox" checked="Checked" fmlaLink="B171" lockText="1"/>
</file>

<file path=xl/ctrlProps/ctrlProp115.xml><?xml version="1.0" encoding="utf-8"?>
<formControlPr xmlns="http://schemas.microsoft.com/office/spreadsheetml/2009/9/main" objectType="CheckBox" checked="Checked" fmlaLink="B104" lockText="1"/>
</file>

<file path=xl/ctrlProps/ctrlProp116.xml><?xml version="1.0" encoding="utf-8"?>
<formControlPr xmlns="http://schemas.microsoft.com/office/spreadsheetml/2009/9/main" objectType="CheckBox" checked="Checked" fmlaLink="B108" lockText="1"/>
</file>

<file path=xl/ctrlProps/ctrlProp117.xml><?xml version="1.0" encoding="utf-8"?>
<formControlPr xmlns="http://schemas.microsoft.com/office/spreadsheetml/2009/9/main" objectType="CheckBox" checked="Checked" fmlaLink="C108" lockText="1"/>
</file>

<file path=xl/ctrlProps/ctrlProp118.xml><?xml version="1.0" encoding="utf-8"?>
<formControlPr xmlns="http://schemas.microsoft.com/office/spreadsheetml/2009/9/main" objectType="CheckBox" checked="Checked" fmlaLink="D108" lockText="1"/>
</file>

<file path=xl/ctrlProps/ctrlProp119.xml><?xml version="1.0" encoding="utf-8"?>
<formControlPr xmlns="http://schemas.microsoft.com/office/spreadsheetml/2009/9/main" objectType="CheckBox" checked="Checked" fmlaLink="E108" lockText="1"/>
</file>

<file path=xl/ctrlProps/ctrlProp120.xml><?xml version="1.0" encoding="utf-8"?>
<formControlPr xmlns="http://schemas.microsoft.com/office/spreadsheetml/2009/9/main" objectType="CheckBox" fmlaLink="F108" lockText="1"/>
</file>

<file path=xl/ctrlProps/ctrlProp121.xml><?xml version="1.0" encoding="utf-8"?>
<formControlPr xmlns="http://schemas.microsoft.com/office/spreadsheetml/2009/9/main" objectType="CheckBox" checked="Checked" fmlaLink="G108" lockText="1"/>
</file>

<file path=xl/ctrlProps/ctrlProp122.xml><?xml version="1.0" encoding="utf-8"?>
<formControlPr xmlns="http://schemas.microsoft.com/office/spreadsheetml/2009/9/main" objectType="CheckBox" checked="Checked" fmlaLink="B93" lockText="1"/>
</file>

<file path=xl/ctrlProps/ctrlProp123.xml><?xml version="1.0" encoding="utf-8"?>
<formControlPr xmlns="http://schemas.microsoft.com/office/spreadsheetml/2009/9/main" objectType="CheckBox" checked="Checked" fmlaLink="L149" lockText="1"/>
</file>

<file path=xl/ctrlProps/ctrlProp124.xml><?xml version="1.0" encoding="utf-8"?>
<formControlPr xmlns="http://schemas.microsoft.com/office/spreadsheetml/2009/9/main" objectType="CheckBox" checked="Checked" fmlaLink="F3" lockText="1"/>
</file>

<file path=xl/ctrlProps/ctrlProp125.xml><?xml version="1.0" encoding="utf-8"?>
<formControlPr xmlns="http://schemas.microsoft.com/office/spreadsheetml/2009/9/main" objectType="CheckBox" checked="Checked" fmlaLink="G112" lockText="1"/>
</file>

<file path=xl/ctrlProps/ctrlProp126.xml><?xml version="1.0" encoding="utf-8"?>
<formControlPr xmlns="http://schemas.microsoft.com/office/spreadsheetml/2009/9/main" objectType="CheckBox" checked="Checked" fmlaLink="B95" lockText="1"/>
</file>

<file path=xl/ctrlProps/ctrlProp127.xml><?xml version="1.0" encoding="utf-8"?>
<formControlPr xmlns="http://schemas.microsoft.com/office/spreadsheetml/2009/9/main" objectType="CheckBox" checked="Checked" fmlaLink="C171" lockText="1"/>
</file>

<file path=xl/ctrlProps/ctrlProp128.xml><?xml version="1.0" encoding="utf-8"?>
<formControlPr xmlns="http://schemas.microsoft.com/office/spreadsheetml/2009/9/main" objectType="CheckBox" checked="Checked" fmlaLink="D3" lockText="1"/>
</file>

<file path=xl/ctrlProps/ctrlProp129.xml><?xml version="1.0" encoding="utf-8"?>
<formControlPr xmlns="http://schemas.microsoft.com/office/spreadsheetml/2009/9/main" objectType="CheckBox" checked="Checked" fmlaLink="B78" lockText="1"/>
</file>

<file path=xl/ctrlProps/ctrlProp130.xml><?xml version="1.0" encoding="utf-8"?>
<formControlPr xmlns="http://schemas.microsoft.com/office/spreadsheetml/2009/9/main" objectType="CheckBox" fmlaLink="B152" lockText="1"/>
</file>

<file path=xl/ctrlProps/ctrlProp131.xml><?xml version="1.0" encoding="utf-8"?>
<formControlPr xmlns="http://schemas.microsoft.com/office/spreadsheetml/2009/9/main" objectType="CheckBox" fmlaLink="C152" lockText="1"/>
</file>

<file path=xl/ctrlProps/ctrlProp132.xml><?xml version="1.0" encoding="utf-8"?>
<formControlPr xmlns="http://schemas.microsoft.com/office/spreadsheetml/2009/9/main" objectType="CheckBox" checked="Checked" fmlaLink="C161" lockText="1"/>
</file>

<file path=xl/ctrlProps/ctrlProp133.xml><?xml version="1.0" encoding="utf-8"?>
<formControlPr xmlns="http://schemas.microsoft.com/office/spreadsheetml/2009/9/main" objectType="CheckBox" checked="Checked" fmlaLink="D161" lockText="1"/>
</file>

<file path=xl/ctrlProps/ctrlProp134.xml><?xml version="1.0" encoding="utf-8"?>
<formControlPr xmlns="http://schemas.microsoft.com/office/spreadsheetml/2009/9/main" objectType="CheckBox" checked="Checked" fmlaLink="E161" lockText="1"/>
</file>

<file path=xl/ctrlProps/ctrlProp135.xml><?xml version="1.0" encoding="utf-8"?>
<formControlPr xmlns="http://schemas.microsoft.com/office/spreadsheetml/2009/9/main" objectType="CheckBox" checked="Checked" fmlaLink="L33" lockText="1"/>
</file>

<file path=xl/ctrlProps/ctrlProp136.xml><?xml version="1.0" encoding="utf-8"?>
<formControlPr xmlns="http://schemas.microsoft.com/office/spreadsheetml/2009/9/main" objectType="CheckBox" checked="Checked" fmlaLink="H101" lockText="1"/>
</file>

<file path=xl/ctrlProps/ctrlProp137.xml><?xml version="1.0" encoding="utf-8"?>
<formControlPr xmlns="http://schemas.microsoft.com/office/spreadsheetml/2009/9/main" objectType="CheckBox" fmlaLink="B72" lockText="1"/>
</file>

<file path=xl/ctrlProps/ctrlProp138.xml><?xml version="1.0" encoding="utf-8"?>
<formControlPr xmlns="http://schemas.microsoft.com/office/spreadsheetml/2009/9/main" objectType="CheckBox" checked="Checked" fmlaLink="B9" lockText="1"/>
</file>

<file path=xl/ctrlProps/ctrlProp139.xml><?xml version="1.0" encoding="utf-8"?>
<formControlPr xmlns="http://schemas.microsoft.com/office/spreadsheetml/2009/9/main" objectType="CheckBox" checked="Checked" fmlaLink="G9" lockText="1"/>
</file>

<file path=xl/ctrlProps/ctrlProp140.xml><?xml version="1.0" encoding="utf-8"?>
<formControlPr xmlns="http://schemas.microsoft.com/office/spreadsheetml/2009/9/main" objectType="CheckBox" checked="Checked" fmlaLink="B11" lockText="1"/>
</file>

<file path=xl/ctrlProps/ctrlProp141.xml><?xml version="1.0" encoding="utf-8"?>
<formControlPr xmlns="http://schemas.microsoft.com/office/spreadsheetml/2009/9/main" objectType="CheckBox" checked="Checked" fmlaLink="G11" lockText="1"/>
</file>

<file path=xl/ctrlProps/ctrlProp142.xml><?xml version="1.0" encoding="utf-8"?>
<formControlPr xmlns="http://schemas.microsoft.com/office/spreadsheetml/2009/9/main" objectType="CheckBox" fmlaLink="B13"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drawing10.xml.rels><?xml version="1.0" encoding="UTF-8" standalone="yes"?>
<Relationships xmlns="http://schemas.openxmlformats.org/package/2006/relationships"><Relationship Id="rId1" Type="http://schemas.openxmlformats.org/officeDocument/2006/relationships/image" Target="../media/image2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0</xdr:rowOff>
        </xdr:from>
        <xdr:to>
          <xdr:col>5</xdr:col>
          <xdr:colOff>895350</xdr:colOff>
          <xdr:row>4</xdr:row>
          <xdr:rowOff>0</xdr:rowOff>
        </xdr:to>
        <xdr:sp macro="" textlink="">
          <xdr:nvSpPr>
            <xdr:cNvPr id="405545" name="Button 41" hidden="1">
              <a:extLst>
                <a:ext uri="{63B3BB69-23CF-44E3-9099-C40C66FF867C}">
                  <a14:compatExt spid="_x0000_s405545"/>
                </a:ext>
                <a:ext uri="{FF2B5EF4-FFF2-40B4-BE49-F238E27FC236}">
                  <a16:creationId xmlns:a16="http://schemas.microsoft.com/office/drawing/2014/main" id="{00000000-0008-0000-0000-0000293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Audit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19050</xdr:rowOff>
        </xdr:from>
        <xdr:to>
          <xdr:col>9</xdr:col>
          <xdr:colOff>908050</xdr:colOff>
          <xdr:row>9</xdr:row>
          <xdr:rowOff>361950</xdr:rowOff>
        </xdr:to>
        <xdr:sp macro="" textlink="">
          <xdr:nvSpPr>
            <xdr:cNvPr id="405546" name="Button 42" hidden="1">
              <a:extLst>
                <a:ext uri="{63B3BB69-23CF-44E3-9099-C40C66FF867C}">
                  <a14:compatExt spid="_x0000_s405546"/>
                </a:ext>
                <a:ext uri="{FF2B5EF4-FFF2-40B4-BE49-F238E27FC236}">
                  <a16:creationId xmlns:a16="http://schemas.microsoft.com/office/drawing/2014/main" id="{00000000-0008-0000-0000-00002A3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Pre_Audit</a:t>
              </a:r>
            </a:p>
            <a:p>
              <a:pPr algn="ctr" rtl="0">
                <a:defRPr sz="1000"/>
              </a:pPr>
              <a:r>
                <a:rPr lang="en-US" sz="1100" b="0" i="0" u="none" strike="noStrike" baseline="0">
                  <a:solidFill>
                    <a:srgbClr val="000000"/>
                  </a:solidFill>
                  <a:latin typeface="Calibri"/>
                  <a:cs typeface="Calibri"/>
                </a:rPr>
                <a:t>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xdr:row>
          <xdr:rowOff>0</xdr:rowOff>
        </xdr:from>
        <xdr:to>
          <xdr:col>5</xdr:col>
          <xdr:colOff>895350</xdr:colOff>
          <xdr:row>4</xdr:row>
          <xdr:rowOff>0</xdr:rowOff>
        </xdr:to>
        <xdr:sp macro="" textlink="">
          <xdr:nvSpPr>
            <xdr:cNvPr id="405547" name="Button 43" hidden="1">
              <a:extLst>
                <a:ext uri="{63B3BB69-23CF-44E3-9099-C40C66FF867C}">
                  <a14:compatExt spid="_x0000_s405547"/>
                </a:ext>
                <a:ext uri="{FF2B5EF4-FFF2-40B4-BE49-F238E27FC236}">
                  <a16:creationId xmlns:a16="http://schemas.microsoft.com/office/drawing/2014/main" id="{00000000-0008-0000-0000-00002B3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Audit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19050</xdr:rowOff>
        </xdr:from>
        <xdr:to>
          <xdr:col>9</xdr:col>
          <xdr:colOff>908050</xdr:colOff>
          <xdr:row>9</xdr:row>
          <xdr:rowOff>361950</xdr:rowOff>
        </xdr:to>
        <xdr:sp macro="" textlink="">
          <xdr:nvSpPr>
            <xdr:cNvPr id="405548" name="Button 44" hidden="1">
              <a:extLst>
                <a:ext uri="{63B3BB69-23CF-44E3-9099-C40C66FF867C}">
                  <a14:compatExt spid="_x0000_s405548"/>
                </a:ext>
                <a:ext uri="{FF2B5EF4-FFF2-40B4-BE49-F238E27FC236}">
                  <a16:creationId xmlns:a16="http://schemas.microsoft.com/office/drawing/2014/main" id="{00000000-0008-0000-0000-00002C3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Pre_Audit</a:t>
              </a:r>
            </a:p>
            <a:p>
              <a:pPr algn="ctr" rtl="0">
                <a:defRPr sz="1000"/>
              </a:pPr>
              <a:r>
                <a:rPr lang="en-US" sz="1100" b="0" i="0" u="none" strike="noStrike" baseline="0">
                  <a:solidFill>
                    <a:srgbClr val="000000"/>
                  </a:solidFill>
                  <a:latin typeface="Calibri"/>
                  <a:cs typeface="Calibri"/>
                </a:rPr>
                <a:t>Dos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16</xdr:row>
          <xdr:rowOff>76200</xdr:rowOff>
        </xdr:from>
        <xdr:to>
          <xdr:col>7</xdr:col>
          <xdr:colOff>857250</xdr:colOff>
          <xdr:row>20</xdr:row>
          <xdr:rowOff>0</xdr:rowOff>
        </xdr:to>
        <xdr:sp macro="" textlink="">
          <xdr:nvSpPr>
            <xdr:cNvPr id="342038" name="Button 22" hidden="1">
              <a:extLst>
                <a:ext uri="{63B3BB69-23CF-44E3-9099-C40C66FF867C}">
                  <a14:compatExt spid="_x0000_s342038"/>
                </a:ext>
                <a:ext uri="{FF2B5EF4-FFF2-40B4-BE49-F238E27FC236}">
                  <a16:creationId xmlns:a16="http://schemas.microsoft.com/office/drawing/2014/main" id="{00000000-0008-0000-0100-0000163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Confirmation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933450</xdr:colOff>
          <xdr:row>15</xdr:row>
          <xdr:rowOff>31750</xdr:rowOff>
        </xdr:from>
        <xdr:to>
          <xdr:col>2</xdr:col>
          <xdr:colOff>0</xdr:colOff>
          <xdr:row>15</xdr:row>
          <xdr:rowOff>355600</xdr:rowOff>
        </xdr:to>
        <xdr:sp macro="" textlink="">
          <xdr:nvSpPr>
            <xdr:cNvPr id="342040" name="Check Box 24" hidden="1">
              <a:extLst>
                <a:ext uri="{63B3BB69-23CF-44E3-9099-C40C66FF867C}">
                  <a14:compatExt spid="_x0000_s342040"/>
                </a:ext>
                <a:ext uri="{FF2B5EF4-FFF2-40B4-BE49-F238E27FC236}">
                  <a16:creationId xmlns:a16="http://schemas.microsoft.com/office/drawing/2014/main" id="{00000000-0008-0000-0100-00001838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13</xdr:col>
      <xdr:colOff>9525</xdr:colOff>
      <xdr:row>2</xdr:row>
      <xdr:rowOff>222250</xdr:rowOff>
    </xdr:from>
    <xdr:to>
      <xdr:col>20</xdr:col>
      <xdr:colOff>136525</xdr:colOff>
      <xdr:row>14</xdr:row>
      <xdr:rowOff>133350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457200</xdr:colOff>
      <xdr:row>4</xdr:row>
      <xdr:rowOff>361950</xdr:rowOff>
    </xdr:from>
    <xdr:to>
      <xdr:col>7</xdr:col>
      <xdr:colOff>2546350</xdr:colOff>
      <xdr:row>18</xdr:row>
      <xdr:rowOff>152400</xdr:rowOff>
    </xdr:to>
    <xdr:graphicFrame macro="">
      <xdr:nvGraphicFramePr>
        <xdr:cNvPr id="96167" name="Chart 8">
          <a:extLst>
            <a:ext uri="{FF2B5EF4-FFF2-40B4-BE49-F238E27FC236}">
              <a16:creationId xmlns:a16="http://schemas.microsoft.com/office/drawing/2014/main" id="{00000000-0008-0000-0400-0000A777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0.07534</cdr:x>
      <cdr:y>0.58285</cdr:y>
    </cdr:from>
    <cdr:to>
      <cdr:x>0.23981</cdr:x>
      <cdr:y>0.69347</cdr:y>
    </cdr:to>
    <cdr:sp macro="" textlink="">
      <cdr:nvSpPr>
        <cdr:cNvPr id="3" name="TextBox 2"/>
        <cdr:cNvSpPr txBox="1"/>
      </cdr:nvSpPr>
      <cdr:spPr>
        <a:xfrm xmlns:a="http://schemas.openxmlformats.org/drawingml/2006/main">
          <a:off x="390525" y="1728788"/>
          <a:ext cx="590550" cy="2000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000" b="1"/>
            <a:t>Low</a:t>
          </a:r>
        </a:p>
      </cdr:txBody>
    </cdr:sp>
  </cdr:relSizeAnchor>
  <cdr:relSizeAnchor xmlns:cdr="http://schemas.openxmlformats.org/drawingml/2006/chartDrawing">
    <cdr:from>
      <cdr:x>0.07685</cdr:x>
      <cdr:y>0.11464</cdr:y>
    </cdr:from>
    <cdr:to>
      <cdr:x>0.24154</cdr:x>
      <cdr:y>0.18142</cdr:y>
    </cdr:to>
    <cdr:sp macro="" textlink="">
      <cdr:nvSpPr>
        <cdr:cNvPr id="4" name="TextBox 1"/>
        <cdr:cNvSpPr txBox="1"/>
      </cdr:nvSpPr>
      <cdr:spPr>
        <a:xfrm xmlns:a="http://schemas.openxmlformats.org/drawingml/2006/main">
          <a:off x="403288" y="336550"/>
          <a:ext cx="602286" cy="2000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00" b="1"/>
            <a:t>High</a:t>
          </a:r>
        </a:p>
      </cdr:txBody>
    </cdr:sp>
  </cdr:relSizeAnchor>
  <cdr:relSizeAnchor xmlns:cdr="http://schemas.openxmlformats.org/drawingml/2006/chartDrawing">
    <cdr:from>
      <cdr:x>0.03654</cdr:x>
      <cdr:y>0.3485</cdr:y>
    </cdr:from>
    <cdr:to>
      <cdr:x>0.2174</cdr:x>
      <cdr:y>0.42222</cdr:y>
    </cdr:to>
    <cdr:sp macro="" textlink="">
      <cdr:nvSpPr>
        <cdr:cNvPr id="5" name="TextBox 1"/>
        <cdr:cNvSpPr txBox="1"/>
      </cdr:nvSpPr>
      <cdr:spPr>
        <a:xfrm xmlns:a="http://schemas.openxmlformats.org/drawingml/2006/main">
          <a:off x="190500" y="1031875"/>
          <a:ext cx="688975" cy="22066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00" b="1"/>
            <a:t>Medium</a:t>
          </a:r>
        </a:p>
      </cdr:txBody>
    </cdr:sp>
  </cdr:relSizeAnchor>
</c:userShapes>
</file>

<file path=xl/drawings/drawing6.xml><?xml version="1.0" encoding="utf-8"?>
<xdr:wsDr xmlns:xdr="http://schemas.openxmlformats.org/drawingml/2006/spreadsheetDrawing" xmlns:a="http://schemas.openxmlformats.org/drawingml/2006/main">
  <xdr:twoCellAnchor>
    <xdr:from>
      <xdr:col>1</xdr:col>
      <xdr:colOff>9525</xdr:colOff>
      <xdr:row>2</xdr:row>
      <xdr:rowOff>3175</xdr:rowOff>
    </xdr:from>
    <xdr:to>
      <xdr:col>1</xdr:col>
      <xdr:colOff>2324144</xdr:colOff>
      <xdr:row>2</xdr:row>
      <xdr:rowOff>479425</xdr:rowOff>
    </xdr:to>
    <xdr:sp macro="" textlink="">
      <xdr:nvSpPr>
        <xdr:cNvPr id="2" name="Right Triangle 1">
          <a:extLst>
            <a:ext uri="{FF2B5EF4-FFF2-40B4-BE49-F238E27FC236}">
              <a16:creationId xmlns:a16="http://schemas.microsoft.com/office/drawing/2014/main" id="{00000000-0008-0000-0500-000002000000}"/>
            </a:ext>
          </a:extLst>
        </xdr:cNvPr>
        <xdr:cNvSpPr/>
      </xdr:nvSpPr>
      <xdr:spPr>
        <a:xfrm>
          <a:off x="180975" y="657225"/>
          <a:ext cx="2428875" cy="685800"/>
        </a:xfrm>
        <a:prstGeom prst="rtTriangle">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19051</xdr:colOff>
      <xdr:row>38</xdr:row>
      <xdr:rowOff>19050</xdr:rowOff>
    </xdr:from>
    <xdr:to>
      <xdr:col>3</xdr:col>
      <xdr:colOff>838201</xdr:colOff>
      <xdr:row>38</xdr:row>
      <xdr:rowOff>533400</xdr:rowOff>
    </xdr:to>
    <xdr:sp macro="" textlink="">
      <xdr:nvSpPr>
        <xdr:cNvPr id="3" name="Right Triangle 2">
          <a:extLst>
            <a:ext uri="{FF2B5EF4-FFF2-40B4-BE49-F238E27FC236}">
              <a16:creationId xmlns:a16="http://schemas.microsoft.com/office/drawing/2014/main" id="{00000000-0008-0000-0600-000003000000}"/>
            </a:ext>
          </a:extLst>
        </xdr:cNvPr>
        <xdr:cNvSpPr/>
      </xdr:nvSpPr>
      <xdr:spPr>
        <a:xfrm>
          <a:off x="295276" y="14639925"/>
          <a:ext cx="2400300" cy="514350"/>
        </a:xfrm>
        <a:prstGeom prst="rtTriangle">
          <a:avLst/>
        </a:prstGeom>
        <a:solidFill>
          <a:schemeClr val="bg1">
            <a:lumMod val="50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zh-TW" altLang="en-US"/>
        </a:p>
      </xdr:txBody>
    </xdr:sp>
    <xdr:clientData/>
  </xdr:twoCellAnchor>
  <mc:AlternateContent xmlns:mc="http://schemas.openxmlformats.org/markup-compatibility/2006">
    <mc:Choice xmlns:a14="http://schemas.microsoft.com/office/drawing/2010/main" Requires="a14">
      <xdr:twoCellAnchor>
        <xdr:from>
          <xdr:col>4</xdr:col>
          <xdr:colOff>171450</xdr:colOff>
          <xdr:row>46</xdr:row>
          <xdr:rowOff>152400</xdr:rowOff>
        </xdr:from>
        <xdr:to>
          <xdr:col>5</xdr:col>
          <xdr:colOff>533400</xdr:colOff>
          <xdr:row>48</xdr:row>
          <xdr:rowOff>127000</xdr:rowOff>
        </xdr:to>
        <xdr:sp macro="" textlink="">
          <xdr:nvSpPr>
            <xdr:cNvPr id="392193" name="Button 1" hidden="1">
              <a:extLst>
                <a:ext uri="{63B3BB69-23CF-44E3-9099-C40C66FF867C}">
                  <a14:compatExt spid="_x0000_s392193"/>
                </a:ext>
                <a:ext uri="{FF2B5EF4-FFF2-40B4-BE49-F238E27FC236}">
                  <a16:creationId xmlns:a16="http://schemas.microsoft.com/office/drawing/2014/main" id="{00000000-0008-0000-0600-000001F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Excutive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215900</xdr:colOff>
          <xdr:row>49</xdr:row>
          <xdr:rowOff>82550</xdr:rowOff>
        </xdr:from>
        <xdr:to>
          <xdr:col>5</xdr:col>
          <xdr:colOff>514350</xdr:colOff>
          <xdr:row>49</xdr:row>
          <xdr:rowOff>514350</xdr:rowOff>
        </xdr:to>
        <xdr:sp macro="" textlink="">
          <xdr:nvSpPr>
            <xdr:cNvPr id="392198" name="Button 6" hidden="1">
              <a:extLst>
                <a:ext uri="{63B3BB69-23CF-44E3-9099-C40C66FF867C}">
                  <a14:compatExt spid="_x0000_s392198"/>
                </a:ext>
                <a:ext uri="{FF2B5EF4-FFF2-40B4-BE49-F238E27FC236}">
                  <a16:creationId xmlns:a16="http://schemas.microsoft.com/office/drawing/2014/main" id="{00000000-0008-0000-0600-000006FC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Audit Plan Merged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245</xdr:row>
          <xdr:rowOff>565150</xdr:rowOff>
        </xdr:from>
        <xdr:to>
          <xdr:col>1</xdr:col>
          <xdr:colOff>1733550</xdr:colOff>
          <xdr:row>249</xdr:row>
          <xdr:rowOff>12700</xdr:rowOff>
        </xdr:to>
        <xdr:sp macro="" textlink="">
          <xdr:nvSpPr>
            <xdr:cNvPr id="403464" name="Button 8" hidden="1">
              <a:extLst>
                <a:ext uri="{63B3BB69-23CF-44E3-9099-C40C66FF867C}">
                  <a14:compatExt spid="_x0000_s403464"/>
                </a:ext>
                <a:ext uri="{FF2B5EF4-FFF2-40B4-BE49-F238E27FC236}">
                  <a16:creationId xmlns:a16="http://schemas.microsoft.com/office/drawing/2014/main" id="{00000000-0008-0000-0700-000008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228</xdr:row>
          <xdr:rowOff>355600</xdr:rowOff>
        </xdr:from>
        <xdr:to>
          <xdr:col>1</xdr:col>
          <xdr:colOff>1733550</xdr:colOff>
          <xdr:row>230</xdr:row>
          <xdr:rowOff>279400</xdr:rowOff>
        </xdr:to>
        <xdr:sp macro="" textlink="">
          <xdr:nvSpPr>
            <xdr:cNvPr id="403465" name="Button 9" hidden="1">
              <a:extLst>
                <a:ext uri="{63B3BB69-23CF-44E3-9099-C40C66FF867C}">
                  <a14:compatExt spid="_x0000_s403465"/>
                </a:ext>
                <a:ext uri="{FF2B5EF4-FFF2-40B4-BE49-F238E27FC236}">
                  <a16:creationId xmlns:a16="http://schemas.microsoft.com/office/drawing/2014/main" id="{00000000-0008-0000-0700-000009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590550</xdr:rowOff>
        </xdr:from>
        <xdr:to>
          <xdr:col>1</xdr:col>
          <xdr:colOff>1733550</xdr:colOff>
          <xdr:row>214</xdr:row>
          <xdr:rowOff>12700</xdr:rowOff>
        </xdr:to>
        <xdr:sp macro="" textlink="">
          <xdr:nvSpPr>
            <xdr:cNvPr id="403466" name="Button 10" hidden="1">
              <a:extLst>
                <a:ext uri="{63B3BB69-23CF-44E3-9099-C40C66FF867C}">
                  <a14:compatExt spid="_x0000_s403466"/>
                </a:ext>
                <a:ext uri="{FF2B5EF4-FFF2-40B4-BE49-F238E27FC236}">
                  <a16:creationId xmlns:a16="http://schemas.microsoft.com/office/drawing/2014/main" id="{00000000-0008-0000-0700-00000A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193</xdr:row>
          <xdr:rowOff>374650</xdr:rowOff>
        </xdr:from>
        <xdr:to>
          <xdr:col>1</xdr:col>
          <xdr:colOff>1733550</xdr:colOff>
          <xdr:row>196</xdr:row>
          <xdr:rowOff>0</xdr:rowOff>
        </xdr:to>
        <xdr:sp macro="" textlink="">
          <xdr:nvSpPr>
            <xdr:cNvPr id="403467" name="Button 11" hidden="1">
              <a:extLst>
                <a:ext uri="{63B3BB69-23CF-44E3-9099-C40C66FF867C}">
                  <a14:compatExt spid="_x0000_s403467"/>
                </a:ext>
                <a:ext uri="{FF2B5EF4-FFF2-40B4-BE49-F238E27FC236}">
                  <a16:creationId xmlns:a16="http://schemas.microsoft.com/office/drawing/2014/main" id="{00000000-0008-0000-0700-00000B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176</xdr:row>
          <xdr:rowOff>742950</xdr:rowOff>
        </xdr:from>
        <xdr:to>
          <xdr:col>1</xdr:col>
          <xdr:colOff>1733550</xdr:colOff>
          <xdr:row>179</xdr:row>
          <xdr:rowOff>0</xdr:rowOff>
        </xdr:to>
        <xdr:sp macro="" textlink="">
          <xdr:nvSpPr>
            <xdr:cNvPr id="403468" name="Button 12" hidden="1">
              <a:extLst>
                <a:ext uri="{63B3BB69-23CF-44E3-9099-C40C66FF867C}">
                  <a14:compatExt spid="_x0000_s403468"/>
                </a:ext>
                <a:ext uri="{FF2B5EF4-FFF2-40B4-BE49-F238E27FC236}">
                  <a16:creationId xmlns:a16="http://schemas.microsoft.com/office/drawing/2014/main" id="{00000000-0008-0000-0700-00000C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157</xdr:row>
          <xdr:rowOff>400050</xdr:rowOff>
        </xdr:from>
        <xdr:to>
          <xdr:col>1</xdr:col>
          <xdr:colOff>1733550</xdr:colOff>
          <xdr:row>159</xdr:row>
          <xdr:rowOff>279400</xdr:rowOff>
        </xdr:to>
        <xdr:sp macro="" textlink="">
          <xdr:nvSpPr>
            <xdr:cNvPr id="403469" name="Button 13" hidden="1">
              <a:extLst>
                <a:ext uri="{63B3BB69-23CF-44E3-9099-C40C66FF867C}">
                  <a14:compatExt spid="_x0000_s403469"/>
                </a:ext>
                <a:ext uri="{FF2B5EF4-FFF2-40B4-BE49-F238E27FC236}">
                  <a16:creationId xmlns:a16="http://schemas.microsoft.com/office/drawing/2014/main" id="{00000000-0008-0000-0700-00000D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142</xdr:row>
          <xdr:rowOff>0</xdr:rowOff>
        </xdr:from>
        <xdr:to>
          <xdr:col>1</xdr:col>
          <xdr:colOff>1733550</xdr:colOff>
          <xdr:row>143</xdr:row>
          <xdr:rowOff>0</xdr:rowOff>
        </xdr:to>
        <xdr:sp macro="" textlink="">
          <xdr:nvSpPr>
            <xdr:cNvPr id="403470" name="Button 14" hidden="1">
              <a:extLst>
                <a:ext uri="{63B3BB69-23CF-44E3-9099-C40C66FF867C}">
                  <a14:compatExt spid="_x0000_s403470"/>
                </a:ext>
                <a:ext uri="{FF2B5EF4-FFF2-40B4-BE49-F238E27FC236}">
                  <a16:creationId xmlns:a16="http://schemas.microsoft.com/office/drawing/2014/main" id="{00000000-0008-0000-0700-00000E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603250</xdr:colOff>
          <xdr:row>103</xdr:row>
          <xdr:rowOff>0</xdr:rowOff>
        </xdr:from>
        <xdr:to>
          <xdr:col>1</xdr:col>
          <xdr:colOff>1733550</xdr:colOff>
          <xdr:row>105</xdr:row>
          <xdr:rowOff>0</xdr:rowOff>
        </xdr:to>
        <xdr:sp macro="" textlink="">
          <xdr:nvSpPr>
            <xdr:cNvPr id="403471" name="Button 15" hidden="1">
              <a:extLst>
                <a:ext uri="{63B3BB69-23CF-44E3-9099-C40C66FF867C}">
                  <a14:compatExt spid="_x0000_s403471"/>
                </a:ext>
                <a:ext uri="{FF2B5EF4-FFF2-40B4-BE49-F238E27FC236}">
                  <a16:creationId xmlns:a16="http://schemas.microsoft.com/office/drawing/2014/main" id="{00000000-0008-0000-0700-00000F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87</xdr:row>
          <xdr:rowOff>0</xdr:rowOff>
        </xdr:from>
        <xdr:to>
          <xdr:col>1</xdr:col>
          <xdr:colOff>1733550</xdr:colOff>
          <xdr:row>88</xdr:row>
          <xdr:rowOff>0</xdr:rowOff>
        </xdr:to>
        <xdr:sp macro="" textlink="">
          <xdr:nvSpPr>
            <xdr:cNvPr id="403472" name="Button 16" hidden="1">
              <a:extLst>
                <a:ext uri="{63B3BB69-23CF-44E3-9099-C40C66FF867C}">
                  <a14:compatExt spid="_x0000_s403472"/>
                </a:ext>
                <a:ext uri="{FF2B5EF4-FFF2-40B4-BE49-F238E27FC236}">
                  <a16:creationId xmlns:a16="http://schemas.microsoft.com/office/drawing/2014/main" id="{00000000-0008-0000-0700-000010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1733550</xdr:colOff>
          <xdr:row>70</xdr:row>
          <xdr:rowOff>0</xdr:rowOff>
        </xdr:to>
        <xdr:sp macro="" textlink="">
          <xdr:nvSpPr>
            <xdr:cNvPr id="403473" name="Button 17" hidden="1">
              <a:extLst>
                <a:ext uri="{63B3BB69-23CF-44E3-9099-C40C66FF867C}">
                  <a14:compatExt spid="_x0000_s403473"/>
                </a:ext>
                <a:ext uri="{FF2B5EF4-FFF2-40B4-BE49-F238E27FC236}">
                  <a16:creationId xmlns:a16="http://schemas.microsoft.com/office/drawing/2014/main" id="{00000000-0008-0000-0700-000011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1</xdr:col>
          <xdr:colOff>1733550</xdr:colOff>
          <xdr:row>52</xdr:row>
          <xdr:rowOff>285750</xdr:rowOff>
        </xdr:to>
        <xdr:sp macro="" textlink="">
          <xdr:nvSpPr>
            <xdr:cNvPr id="403474" name="Button 18" hidden="1">
              <a:extLst>
                <a:ext uri="{63B3BB69-23CF-44E3-9099-C40C66FF867C}">
                  <a14:compatExt spid="_x0000_s403474"/>
                </a:ext>
                <a:ext uri="{FF2B5EF4-FFF2-40B4-BE49-F238E27FC236}">
                  <a16:creationId xmlns:a16="http://schemas.microsoft.com/office/drawing/2014/main" id="{00000000-0008-0000-0700-000012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35</xdr:row>
          <xdr:rowOff>0</xdr:rowOff>
        </xdr:from>
        <xdr:to>
          <xdr:col>1</xdr:col>
          <xdr:colOff>1733550</xdr:colOff>
          <xdr:row>37</xdr:row>
          <xdr:rowOff>0</xdr:rowOff>
        </xdr:to>
        <xdr:sp macro="" textlink="">
          <xdr:nvSpPr>
            <xdr:cNvPr id="403475" name="Button 19" hidden="1">
              <a:extLst>
                <a:ext uri="{63B3BB69-23CF-44E3-9099-C40C66FF867C}">
                  <a14:compatExt spid="_x0000_s403475"/>
                </a:ext>
                <a:ext uri="{FF2B5EF4-FFF2-40B4-BE49-F238E27FC236}">
                  <a16:creationId xmlns:a16="http://schemas.microsoft.com/office/drawing/2014/main" id="{00000000-0008-0000-0700-000013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1</xdr:col>
          <xdr:colOff>1733550</xdr:colOff>
          <xdr:row>18</xdr:row>
          <xdr:rowOff>0</xdr:rowOff>
        </xdr:to>
        <xdr:sp macro="" textlink="">
          <xdr:nvSpPr>
            <xdr:cNvPr id="403476" name="Button 20" hidden="1">
              <a:extLst>
                <a:ext uri="{63B3BB69-23CF-44E3-9099-C40C66FF867C}">
                  <a14:compatExt spid="_x0000_s403476"/>
                </a:ext>
                <a:ext uri="{FF2B5EF4-FFF2-40B4-BE49-F238E27FC236}">
                  <a16:creationId xmlns:a16="http://schemas.microsoft.com/office/drawing/2014/main" id="{00000000-0008-0000-0700-000014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81</xdr:row>
          <xdr:rowOff>0</xdr:rowOff>
        </xdr:from>
        <xdr:to>
          <xdr:col>16</xdr:col>
          <xdr:colOff>19050</xdr:colOff>
          <xdr:row>81</xdr:row>
          <xdr:rowOff>514350</xdr:rowOff>
        </xdr:to>
        <xdr:sp macro="" textlink="">
          <xdr:nvSpPr>
            <xdr:cNvPr id="403478" name="Button 22" hidden="1">
              <a:extLst>
                <a:ext uri="{63B3BB69-23CF-44E3-9099-C40C66FF867C}">
                  <a14:compatExt spid="_x0000_s403478"/>
                </a:ext>
                <a:ext uri="{FF2B5EF4-FFF2-40B4-BE49-F238E27FC236}">
                  <a16:creationId xmlns:a16="http://schemas.microsoft.com/office/drawing/2014/main" id="{00000000-0008-0000-0700-000016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590550</xdr:colOff>
          <xdr:row>82</xdr:row>
          <xdr:rowOff>495300</xdr:rowOff>
        </xdr:from>
        <xdr:to>
          <xdr:col>16</xdr:col>
          <xdr:colOff>0</xdr:colOff>
          <xdr:row>83</xdr:row>
          <xdr:rowOff>374650</xdr:rowOff>
        </xdr:to>
        <xdr:sp macro="" textlink="">
          <xdr:nvSpPr>
            <xdr:cNvPr id="403479" name="Button 23" hidden="1">
              <a:extLst>
                <a:ext uri="{63B3BB69-23CF-44E3-9099-C40C66FF867C}">
                  <a14:compatExt spid="_x0000_s403479"/>
                </a:ext>
                <a:ext uri="{FF2B5EF4-FFF2-40B4-BE49-F238E27FC236}">
                  <a16:creationId xmlns:a16="http://schemas.microsoft.com/office/drawing/2014/main" id="{00000000-0008-0000-0700-000017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50800</xdr:colOff>
          <xdr:row>84</xdr:row>
          <xdr:rowOff>342900</xdr:rowOff>
        </xdr:from>
        <xdr:to>
          <xdr:col>16</xdr:col>
          <xdr:colOff>12700</xdr:colOff>
          <xdr:row>84</xdr:row>
          <xdr:rowOff>914400</xdr:rowOff>
        </xdr:to>
        <xdr:sp macro="" textlink="">
          <xdr:nvSpPr>
            <xdr:cNvPr id="403480" name="Button 24" hidden="1">
              <a:extLst>
                <a:ext uri="{63B3BB69-23CF-44E3-9099-C40C66FF867C}">
                  <a14:compatExt spid="_x0000_s403480"/>
                </a:ext>
                <a:ext uri="{FF2B5EF4-FFF2-40B4-BE49-F238E27FC236}">
                  <a16:creationId xmlns:a16="http://schemas.microsoft.com/office/drawing/2014/main" id="{00000000-0008-0000-0700-000018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100</xdr:row>
          <xdr:rowOff>38100</xdr:rowOff>
        </xdr:from>
        <xdr:to>
          <xdr:col>16</xdr:col>
          <xdr:colOff>50800</xdr:colOff>
          <xdr:row>100</xdr:row>
          <xdr:rowOff>628650</xdr:rowOff>
        </xdr:to>
        <xdr:sp macro="" textlink="">
          <xdr:nvSpPr>
            <xdr:cNvPr id="403481" name="Button 25" hidden="1">
              <a:extLst>
                <a:ext uri="{63B3BB69-23CF-44E3-9099-C40C66FF867C}">
                  <a14:compatExt spid="_x0000_s403481"/>
                </a:ext>
                <a:ext uri="{FF2B5EF4-FFF2-40B4-BE49-F238E27FC236}">
                  <a16:creationId xmlns:a16="http://schemas.microsoft.com/office/drawing/2014/main" id="{00000000-0008-0000-0700-000019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115</xdr:row>
          <xdr:rowOff>304800</xdr:rowOff>
        </xdr:from>
        <xdr:to>
          <xdr:col>16</xdr:col>
          <xdr:colOff>38100</xdr:colOff>
          <xdr:row>117</xdr:row>
          <xdr:rowOff>44450</xdr:rowOff>
        </xdr:to>
        <xdr:sp macro="" textlink="">
          <xdr:nvSpPr>
            <xdr:cNvPr id="403482" name="Button 26" hidden="1">
              <a:extLst>
                <a:ext uri="{63B3BB69-23CF-44E3-9099-C40C66FF867C}">
                  <a14:compatExt spid="_x0000_s403482"/>
                </a:ext>
                <a:ext uri="{FF2B5EF4-FFF2-40B4-BE49-F238E27FC236}">
                  <a16:creationId xmlns:a16="http://schemas.microsoft.com/office/drawing/2014/main" id="{00000000-0008-0000-0700-00001A28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117</xdr:row>
          <xdr:rowOff>12700</xdr:rowOff>
        </xdr:from>
        <xdr:to>
          <xdr:col>16</xdr:col>
          <xdr:colOff>38100</xdr:colOff>
          <xdr:row>118</xdr:row>
          <xdr:rowOff>63500</xdr:rowOff>
        </xdr:to>
        <xdr:sp macro="" textlink="">
          <xdr:nvSpPr>
            <xdr:cNvPr id="403483" name="Button 27" hidden="1">
              <a:extLst>
                <a:ext uri="{63B3BB69-23CF-44E3-9099-C40C66FF867C}">
                  <a14:compatExt spid="_x0000_s403483"/>
                </a:ext>
                <a:ext uri="{FF2B5EF4-FFF2-40B4-BE49-F238E27FC236}">
                  <a16:creationId xmlns:a16="http://schemas.microsoft.com/office/drawing/2014/main" id="{00000000-0008-0000-0700-00001B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7.2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122</xdr:row>
          <xdr:rowOff>69850</xdr:rowOff>
        </xdr:from>
        <xdr:to>
          <xdr:col>16</xdr:col>
          <xdr:colOff>57150</xdr:colOff>
          <xdr:row>122</xdr:row>
          <xdr:rowOff>514350</xdr:rowOff>
        </xdr:to>
        <xdr:sp macro="" textlink="">
          <xdr:nvSpPr>
            <xdr:cNvPr id="403484" name="Button 28" hidden="1">
              <a:extLst>
                <a:ext uri="{63B3BB69-23CF-44E3-9099-C40C66FF867C}">
                  <a14:compatExt spid="_x0000_s403484"/>
                </a:ext>
                <a:ext uri="{FF2B5EF4-FFF2-40B4-BE49-F238E27FC236}">
                  <a16:creationId xmlns:a16="http://schemas.microsoft.com/office/drawing/2014/main" id="{00000000-0008-0000-0700-00001C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121</xdr:row>
          <xdr:rowOff>12700</xdr:rowOff>
        </xdr:from>
        <xdr:to>
          <xdr:col>16</xdr:col>
          <xdr:colOff>38100</xdr:colOff>
          <xdr:row>121</xdr:row>
          <xdr:rowOff>552450</xdr:rowOff>
        </xdr:to>
        <xdr:sp macro="" textlink="">
          <xdr:nvSpPr>
            <xdr:cNvPr id="403485" name="Button 29" hidden="1">
              <a:extLst>
                <a:ext uri="{63B3BB69-23CF-44E3-9099-C40C66FF867C}">
                  <a14:compatExt spid="_x0000_s403485"/>
                </a:ext>
                <a:ext uri="{FF2B5EF4-FFF2-40B4-BE49-F238E27FC236}">
                  <a16:creationId xmlns:a16="http://schemas.microsoft.com/office/drawing/2014/main" id="{00000000-0008-0000-0700-00001D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128</xdr:row>
          <xdr:rowOff>0</xdr:rowOff>
        </xdr:from>
        <xdr:to>
          <xdr:col>16</xdr:col>
          <xdr:colOff>12700</xdr:colOff>
          <xdr:row>128</xdr:row>
          <xdr:rowOff>641350</xdr:rowOff>
        </xdr:to>
        <xdr:sp macro="" textlink="">
          <xdr:nvSpPr>
            <xdr:cNvPr id="403486" name="Button 30" hidden="1">
              <a:extLst>
                <a:ext uri="{63B3BB69-23CF-44E3-9099-C40C66FF867C}">
                  <a14:compatExt spid="_x0000_s403486"/>
                </a:ext>
                <a:ext uri="{FF2B5EF4-FFF2-40B4-BE49-F238E27FC236}">
                  <a16:creationId xmlns:a16="http://schemas.microsoft.com/office/drawing/2014/main" id="{00000000-0008-0000-0700-00001E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118</xdr:row>
          <xdr:rowOff>133350</xdr:rowOff>
        </xdr:from>
        <xdr:to>
          <xdr:col>10</xdr:col>
          <xdr:colOff>590550</xdr:colOff>
          <xdr:row>119</xdr:row>
          <xdr:rowOff>19050</xdr:rowOff>
        </xdr:to>
        <xdr:sp macro="" textlink="">
          <xdr:nvSpPr>
            <xdr:cNvPr id="403488" name="Button 32" hidden="1">
              <a:extLst>
                <a:ext uri="{63B3BB69-23CF-44E3-9099-C40C66FF867C}">
                  <a14:compatExt spid="_x0000_s403488"/>
                </a:ext>
                <a:ext uri="{FF2B5EF4-FFF2-40B4-BE49-F238E27FC236}">
                  <a16:creationId xmlns:a16="http://schemas.microsoft.com/office/drawing/2014/main" id="{00000000-0008-0000-0700-000020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7.3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124</xdr:row>
          <xdr:rowOff>12700</xdr:rowOff>
        </xdr:from>
        <xdr:to>
          <xdr:col>16</xdr:col>
          <xdr:colOff>12700</xdr:colOff>
          <xdr:row>125</xdr:row>
          <xdr:rowOff>12700</xdr:rowOff>
        </xdr:to>
        <xdr:sp macro="" textlink="">
          <xdr:nvSpPr>
            <xdr:cNvPr id="403489" name="Button 33" hidden="1">
              <a:extLst>
                <a:ext uri="{63B3BB69-23CF-44E3-9099-C40C66FF867C}">
                  <a14:compatExt spid="_x0000_s403489"/>
                </a:ext>
                <a:ext uri="{FF2B5EF4-FFF2-40B4-BE49-F238E27FC236}">
                  <a16:creationId xmlns:a16="http://schemas.microsoft.com/office/drawing/2014/main" id="{00000000-0008-0000-0700-000021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Button 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132</xdr:row>
          <xdr:rowOff>203200</xdr:rowOff>
        </xdr:from>
        <xdr:to>
          <xdr:col>16</xdr:col>
          <xdr:colOff>12700</xdr:colOff>
          <xdr:row>132</xdr:row>
          <xdr:rowOff>762000</xdr:rowOff>
        </xdr:to>
        <xdr:sp macro="" textlink="">
          <xdr:nvSpPr>
            <xdr:cNvPr id="403490" name="Button 34" hidden="1">
              <a:extLst>
                <a:ext uri="{63B3BB69-23CF-44E3-9099-C40C66FF867C}">
                  <a14:compatExt spid="_x0000_s403490"/>
                </a:ext>
                <a:ext uri="{FF2B5EF4-FFF2-40B4-BE49-F238E27FC236}">
                  <a16:creationId xmlns:a16="http://schemas.microsoft.com/office/drawing/2014/main" id="{00000000-0008-0000-0700-000022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7.17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137</xdr:row>
          <xdr:rowOff>146050</xdr:rowOff>
        </xdr:from>
        <xdr:to>
          <xdr:col>16</xdr:col>
          <xdr:colOff>19050</xdr:colOff>
          <xdr:row>137</xdr:row>
          <xdr:rowOff>755650</xdr:rowOff>
        </xdr:to>
        <xdr:sp macro="" textlink="">
          <xdr:nvSpPr>
            <xdr:cNvPr id="403492" name="Button 36" hidden="1">
              <a:extLst>
                <a:ext uri="{63B3BB69-23CF-44E3-9099-C40C66FF867C}">
                  <a14:compatExt spid="_x0000_s403492"/>
                </a:ext>
                <a:ext uri="{FF2B5EF4-FFF2-40B4-BE49-F238E27FC236}">
                  <a16:creationId xmlns:a16="http://schemas.microsoft.com/office/drawing/2014/main" id="{00000000-0008-0000-0700-000024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7.22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226</xdr:row>
          <xdr:rowOff>19050</xdr:rowOff>
        </xdr:from>
        <xdr:to>
          <xdr:col>16</xdr:col>
          <xdr:colOff>0</xdr:colOff>
          <xdr:row>226</xdr:row>
          <xdr:rowOff>374650</xdr:rowOff>
        </xdr:to>
        <xdr:sp macro="" textlink="">
          <xdr:nvSpPr>
            <xdr:cNvPr id="403494" name="Button 38" hidden="1">
              <a:extLst>
                <a:ext uri="{63B3BB69-23CF-44E3-9099-C40C66FF867C}">
                  <a14:compatExt spid="_x0000_s403494"/>
                </a:ext>
                <a:ext uri="{FF2B5EF4-FFF2-40B4-BE49-F238E27FC236}">
                  <a16:creationId xmlns:a16="http://schemas.microsoft.com/office/drawing/2014/main" id="{00000000-0008-0000-0700-000026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12.3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227</xdr:row>
          <xdr:rowOff>76200</xdr:rowOff>
        </xdr:from>
        <xdr:to>
          <xdr:col>16</xdr:col>
          <xdr:colOff>19050</xdr:colOff>
          <xdr:row>228</xdr:row>
          <xdr:rowOff>0</xdr:rowOff>
        </xdr:to>
        <xdr:sp macro="" textlink="">
          <xdr:nvSpPr>
            <xdr:cNvPr id="403495" name="Button 39" hidden="1">
              <a:extLst>
                <a:ext uri="{63B3BB69-23CF-44E3-9099-C40C66FF867C}">
                  <a14:compatExt spid="_x0000_s403495"/>
                </a:ext>
                <a:ext uri="{FF2B5EF4-FFF2-40B4-BE49-F238E27FC236}">
                  <a16:creationId xmlns:a16="http://schemas.microsoft.com/office/drawing/2014/main" id="{00000000-0008-0000-0700-000027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12.4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191</xdr:row>
          <xdr:rowOff>38100</xdr:rowOff>
        </xdr:from>
        <xdr:to>
          <xdr:col>16</xdr:col>
          <xdr:colOff>19050</xdr:colOff>
          <xdr:row>192</xdr:row>
          <xdr:rowOff>0</xdr:rowOff>
        </xdr:to>
        <xdr:sp macro="" textlink="">
          <xdr:nvSpPr>
            <xdr:cNvPr id="403496" name="Button 40" hidden="1">
              <a:extLst>
                <a:ext uri="{63B3BB69-23CF-44E3-9099-C40C66FF867C}">
                  <a14:compatExt spid="_x0000_s403496"/>
                </a:ext>
                <a:ext uri="{FF2B5EF4-FFF2-40B4-BE49-F238E27FC236}">
                  <a16:creationId xmlns:a16="http://schemas.microsoft.com/office/drawing/2014/main" id="{00000000-0008-0000-0700-000028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10.2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192</xdr:row>
          <xdr:rowOff>76200</xdr:rowOff>
        </xdr:from>
        <xdr:to>
          <xdr:col>16</xdr:col>
          <xdr:colOff>0</xdr:colOff>
          <xdr:row>192</xdr:row>
          <xdr:rowOff>438150</xdr:rowOff>
        </xdr:to>
        <xdr:sp macro="" textlink="">
          <xdr:nvSpPr>
            <xdr:cNvPr id="403497" name="Button 41" hidden="1">
              <a:extLst>
                <a:ext uri="{63B3BB69-23CF-44E3-9099-C40C66FF867C}">
                  <a14:compatExt spid="_x0000_s403497"/>
                </a:ext>
                <a:ext uri="{FF2B5EF4-FFF2-40B4-BE49-F238E27FC236}">
                  <a16:creationId xmlns:a16="http://schemas.microsoft.com/office/drawing/2014/main" id="{00000000-0008-0000-0700-000029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10.3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9</xdr:row>
          <xdr:rowOff>76200</xdr:rowOff>
        </xdr:from>
        <xdr:to>
          <xdr:col>10</xdr:col>
          <xdr:colOff>590550</xdr:colOff>
          <xdr:row>10</xdr:row>
          <xdr:rowOff>0</xdr:rowOff>
        </xdr:to>
        <xdr:sp macro="" textlink="">
          <xdr:nvSpPr>
            <xdr:cNvPr id="403501" name="Button 45" hidden="1">
              <a:extLst>
                <a:ext uri="{63B3BB69-23CF-44E3-9099-C40C66FF867C}">
                  <a14:compatExt spid="_x0000_s403501"/>
                </a:ext>
                <a:ext uri="{FF2B5EF4-FFF2-40B4-BE49-F238E27FC236}">
                  <a16:creationId xmlns:a16="http://schemas.microsoft.com/office/drawing/2014/main" id="{00000000-0008-0000-0700-00002D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590550</xdr:colOff>
          <xdr:row>12</xdr:row>
          <xdr:rowOff>12700</xdr:rowOff>
        </xdr:from>
        <xdr:to>
          <xdr:col>16</xdr:col>
          <xdr:colOff>12700</xdr:colOff>
          <xdr:row>12</xdr:row>
          <xdr:rowOff>450850</xdr:rowOff>
        </xdr:to>
        <xdr:sp macro="" textlink="">
          <xdr:nvSpPr>
            <xdr:cNvPr id="403502" name="Button 46" hidden="1">
              <a:extLst>
                <a:ext uri="{63B3BB69-23CF-44E3-9099-C40C66FF867C}">
                  <a14:compatExt spid="_x0000_s403502"/>
                </a:ext>
                <a:ext uri="{FF2B5EF4-FFF2-40B4-BE49-F238E27FC236}">
                  <a16:creationId xmlns:a16="http://schemas.microsoft.com/office/drawing/2014/main" id="{00000000-0008-0000-0700-00002E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1.4</a:t>
              </a:r>
            </a:p>
          </xdr:txBody>
        </xdr:sp>
        <xdr:clientData fPrintsWithSheet="0"/>
      </xdr:twoCellAnchor>
    </mc:Choice>
    <mc:Fallback/>
  </mc:AlternateContent>
  <xdr:twoCellAnchor editAs="oneCell">
    <xdr:from>
      <xdr:col>0</xdr:col>
      <xdr:colOff>0</xdr:colOff>
      <xdr:row>0</xdr:row>
      <xdr:rowOff>0</xdr:rowOff>
    </xdr:from>
    <xdr:to>
      <xdr:col>0</xdr:col>
      <xdr:colOff>504265</xdr:colOff>
      <xdr:row>5</xdr:row>
      <xdr:rowOff>100853</xdr:rowOff>
    </xdr:to>
    <xdr:pic macro="[0]!CopyPA1">
      <xdr:nvPicPr>
        <xdr:cNvPr id="4" name="Graphic 3" descr="Books outline">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0"/>
          <a:ext cx="504265" cy="504265"/>
        </a:xfrm>
        <a:prstGeom prst="rect">
          <a:avLst/>
        </a:prstGeom>
      </xdr:spPr>
    </xdr:pic>
    <xdr:clientData/>
  </xdr:twoCellAnchor>
  <xdr:twoCellAnchor editAs="oneCell">
    <xdr:from>
      <xdr:col>1</xdr:col>
      <xdr:colOff>134470</xdr:colOff>
      <xdr:row>0</xdr:row>
      <xdr:rowOff>0</xdr:rowOff>
    </xdr:from>
    <xdr:to>
      <xdr:col>1</xdr:col>
      <xdr:colOff>549088</xdr:colOff>
      <xdr:row>5</xdr:row>
      <xdr:rowOff>11206</xdr:rowOff>
    </xdr:to>
    <xdr:pic macro="[0]!CopyPA2">
      <xdr:nvPicPr>
        <xdr:cNvPr id="6" name="Graphic 5" descr="Badge outline">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9588" y="0"/>
          <a:ext cx="414618" cy="414618"/>
        </a:xfrm>
        <a:prstGeom prst="rect">
          <a:avLst/>
        </a:prstGeom>
      </xdr:spPr>
    </xdr:pic>
    <xdr:clientData/>
  </xdr:twoCellAnchor>
  <xdr:twoCellAnchor editAs="oneCell">
    <xdr:from>
      <xdr:col>1</xdr:col>
      <xdr:colOff>762000</xdr:colOff>
      <xdr:row>0</xdr:row>
      <xdr:rowOff>0</xdr:rowOff>
    </xdr:from>
    <xdr:to>
      <xdr:col>1</xdr:col>
      <xdr:colOff>1199029</xdr:colOff>
      <xdr:row>5</xdr:row>
      <xdr:rowOff>33617</xdr:rowOff>
    </xdr:to>
    <xdr:pic macro="[0]!CopyPA3">
      <xdr:nvPicPr>
        <xdr:cNvPr id="8" name="Graphic 7" descr="Badge 3 outline">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67118" y="0"/>
          <a:ext cx="437029" cy="437029"/>
        </a:xfrm>
        <a:prstGeom prst="rect">
          <a:avLst/>
        </a:prstGeom>
      </xdr:spPr>
    </xdr:pic>
    <xdr:clientData/>
  </xdr:twoCellAnchor>
  <xdr:twoCellAnchor editAs="oneCell">
    <xdr:from>
      <xdr:col>1</xdr:col>
      <xdr:colOff>1423148</xdr:colOff>
      <xdr:row>0</xdr:row>
      <xdr:rowOff>0</xdr:rowOff>
    </xdr:from>
    <xdr:to>
      <xdr:col>3</xdr:col>
      <xdr:colOff>123266</xdr:colOff>
      <xdr:row>5</xdr:row>
      <xdr:rowOff>44824</xdr:rowOff>
    </xdr:to>
    <xdr:pic macro="[0]!CopyPA4">
      <xdr:nvPicPr>
        <xdr:cNvPr id="10" name="Graphic 9" descr="Badge 4 outline">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28266" y="0"/>
          <a:ext cx="448235" cy="448236"/>
        </a:xfrm>
        <a:prstGeom prst="rect">
          <a:avLst/>
        </a:prstGeom>
      </xdr:spPr>
    </xdr:pic>
    <xdr:clientData/>
  </xdr:twoCellAnchor>
  <xdr:twoCellAnchor editAs="oneCell">
    <xdr:from>
      <xdr:col>3</xdr:col>
      <xdr:colOff>291354</xdr:colOff>
      <xdr:row>0</xdr:row>
      <xdr:rowOff>0</xdr:rowOff>
    </xdr:from>
    <xdr:to>
      <xdr:col>3</xdr:col>
      <xdr:colOff>776319</xdr:colOff>
      <xdr:row>5</xdr:row>
      <xdr:rowOff>56028</xdr:rowOff>
    </xdr:to>
    <xdr:pic macro="[0]!CopyPA5">
      <xdr:nvPicPr>
        <xdr:cNvPr id="12" name="Graphic 11" descr="Badge 5 outline">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644589" y="0"/>
          <a:ext cx="484965" cy="459440"/>
        </a:xfrm>
        <a:prstGeom prst="rect">
          <a:avLst/>
        </a:prstGeom>
      </xdr:spPr>
    </xdr:pic>
    <xdr:clientData/>
  </xdr:twoCellAnchor>
  <xdr:twoCellAnchor editAs="oneCell">
    <xdr:from>
      <xdr:col>3</xdr:col>
      <xdr:colOff>1008531</xdr:colOff>
      <xdr:row>0</xdr:row>
      <xdr:rowOff>0</xdr:rowOff>
    </xdr:from>
    <xdr:to>
      <xdr:col>3</xdr:col>
      <xdr:colOff>1490384</xdr:colOff>
      <xdr:row>5</xdr:row>
      <xdr:rowOff>78441</xdr:rowOff>
    </xdr:to>
    <xdr:pic macro="[0]!CopyPA6">
      <xdr:nvPicPr>
        <xdr:cNvPr id="14" name="Graphic 13" descr="Badge 6 outline">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361766" y="0"/>
          <a:ext cx="481853" cy="481853"/>
        </a:xfrm>
        <a:prstGeom prst="rect">
          <a:avLst/>
        </a:prstGeom>
      </xdr:spPr>
    </xdr:pic>
    <xdr:clientData/>
  </xdr:twoCellAnchor>
  <xdr:twoCellAnchor editAs="oneCell">
    <xdr:from>
      <xdr:col>3</xdr:col>
      <xdr:colOff>1647267</xdr:colOff>
      <xdr:row>0</xdr:row>
      <xdr:rowOff>0</xdr:rowOff>
    </xdr:from>
    <xdr:to>
      <xdr:col>3</xdr:col>
      <xdr:colOff>2106707</xdr:colOff>
      <xdr:row>5</xdr:row>
      <xdr:rowOff>56028</xdr:rowOff>
    </xdr:to>
    <xdr:pic macro="[0]!CopyPA7">
      <xdr:nvPicPr>
        <xdr:cNvPr id="16" name="Graphic 15" descr="Badge 7 outline">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4000502" y="0"/>
          <a:ext cx="459440" cy="459440"/>
        </a:xfrm>
        <a:prstGeom prst="rect">
          <a:avLst/>
        </a:prstGeom>
      </xdr:spPr>
    </xdr:pic>
    <xdr:clientData/>
  </xdr:twoCellAnchor>
  <xdr:twoCellAnchor editAs="oneCell">
    <xdr:from>
      <xdr:col>3</xdr:col>
      <xdr:colOff>2319617</xdr:colOff>
      <xdr:row>0</xdr:row>
      <xdr:rowOff>0</xdr:rowOff>
    </xdr:from>
    <xdr:to>
      <xdr:col>3</xdr:col>
      <xdr:colOff>2801470</xdr:colOff>
      <xdr:row>5</xdr:row>
      <xdr:rowOff>78440</xdr:rowOff>
    </xdr:to>
    <xdr:pic macro="[0]!CopyPA8">
      <xdr:nvPicPr>
        <xdr:cNvPr id="18" name="Graphic 17" descr="Badge 8 outline">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672852" y="0"/>
          <a:ext cx="481853" cy="481852"/>
        </a:xfrm>
        <a:prstGeom prst="rect">
          <a:avLst/>
        </a:prstGeom>
      </xdr:spPr>
    </xdr:pic>
    <xdr:clientData/>
  </xdr:twoCellAnchor>
  <xdr:twoCellAnchor editAs="oneCell">
    <xdr:from>
      <xdr:col>3</xdr:col>
      <xdr:colOff>2991972</xdr:colOff>
      <xdr:row>0</xdr:row>
      <xdr:rowOff>0</xdr:rowOff>
    </xdr:from>
    <xdr:to>
      <xdr:col>3</xdr:col>
      <xdr:colOff>3462618</xdr:colOff>
      <xdr:row>5</xdr:row>
      <xdr:rowOff>67234</xdr:rowOff>
    </xdr:to>
    <xdr:pic macro="[0]!CopyPA9">
      <xdr:nvPicPr>
        <xdr:cNvPr id="20" name="Graphic 19" descr="Badge 9 outline">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345207" y="0"/>
          <a:ext cx="470646" cy="470646"/>
        </a:xfrm>
        <a:prstGeom prst="rect">
          <a:avLst/>
        </a:prstGeom>
      </xdr:spPr>
    </xdr:pic>
    <xdr:clientData/>
  </xdr:twoCellAnchor>
  <xdr:twoCellAnchor editAs="oneCell">
    <xdr:from>
      <xdr:col>3</xdr:col>
      <xdr:colOff>3608295</xdr:colOff>
      <xdr:row>0</xdr:row>
      <xdr:rowOff>0</xdr:rowOff>
    </xdr:from>
    <xdr:to>
      <xdr:col>3</xdr:col>
      <xdr:colOff>4090148</xdr:colOff>
      <xdr:row>5</xdr:row>
      <xdr:rowOff>78441</xdr:rowOff>
    </xdr:to>
    <xdr:pic macro="[0]!CopyPA10">
      <xdr:nvPicPr>
        <xdr:cNvPr id="22" name="Graphic 21" descr="Badge 10 outline">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961530" y="0"/>
          <a:ext cx="481853" cy="481853"/>
        </a:xfrm>
        <a:prstGeom prst="rect">
          <a:avLst/>
        </a:prstGeom>
      </xdr:spPr>
    </xdr:pic>
    <xdr:clientData/>
  </xdr:twoCellAnchor>
  <xdr:twoCellAnchor>
    <xdr:from>
      <xdr:col>3</xdr:col>
      <xdr:colOff>4280646</xdr:colOff>
      <xdr:row>0</xdr:row>
      <xdr:rowOff>22412</xdr:rowOff>
    </xdr:from>
    <xdr:to>
      <xdr:col>3</xdr:col>
      <xdr:colOff>4773705</xdr:colOff>
      <xdr:row>1</xdr:row>
      <xdr:rowOff>0</xdr:rowOff>
    </xdr:to>
    <xdr:sp macro="[0]!CopyPA11" textlink="">
      <xdr:nvSpPr>
        <xdr:cNvPr id="23" name="Dodecagon 22" descr="11">
          <a:extLst>
            <a:ext uri="{FF2B5EF4-FFF2-40B4-BE49-F238E27FC236}">
              <a16:creationId xmlns:a16="http://schemas.microsoft.com/office/drawing/2014/main" id="{00000000-0008-0000-0700-000017000000}"/>
            </a:ext>
            <a:ext uri="{C183D7F6-B498-43B3-948B-1728B52AA6E4}">
              <adec:decorative xmlns:adec="http://schemas.microsoft.com/office/drawing/2017/decorative" val="0"/>
            </a:ext>
          </a:extLst>
        </xdr:cNvPr>
        <xdr:cNvSpPr/>
      </xdr:nvSpPr>
      <xdr:spPr>
        <a:xfrm>
          <a:off x="6633881" y="22412"/>
          <a:ext cx="493059" cy="381000"/>
        </a:xfrm>
        <a:prstGeom prst="dodecag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ysClr val="windowText" lastClr="000000"/>
              </a:solidFill>
            </a:rPr>
            <a:t>11</a:t>
          </a:r>
        </a:p>
      </xdr:txBody>
    </xdr:sp>
    <xdr:clientData/>
  </xdr:twoCellAnchor>
  <xdr:twoCellAnchor>
    <xdr:from>
      <xdr:col>3</xdr:col>
      <xdr:colOff>4997824</xdr:colOff>
      <xdr:row>0</xdr:row>
      <xdr:rowOff>33617</xdr:rowOff>
    </xdr:from>
    <xdr:to>
      <xdr:col>3</xdr:col>
      <xdr:colOff>5490883</xdr:colOff>
      <xdr:row>1</xdr:row>
      <xdr:rowOff>0</xdr:rowOff>
    </xdr:to>
    <xdr:sp macro="[0]!CopyPA12" textlink="">
      <xdr:nvSpPr>
        <xdr:cNvPr id="57" name="Dodecagon 56" descr="11">
          <a:extLst>
            <a:ext uri="{FF2B5EF4-FFF2-40B4-BE49-F238E27FC236}">
              <a16:creationId xmlns:a16="http://schemas.microsoft.com/office/drawing/2014/main" id="{00000000-0008-0000-0700-000039000000}"/>
            </a:ext>
            <a:ext uri="{C183D7F6-B498-43B3-948B-1728B52AA6E4}">
              <adec:decorative xmlns:adec="http://schemas.microsoft.com/office/drawing/2017/decorative" val="0"/>
            </a:ext>
          </a:extLst>
        </xdr:cNvPr>
        <xdr:cNvSpPr/>
      </xdr:nvSpPr>
      <xdr:spPr>
        <a:xfrm>
          <a:off x="7351059" y="33617"/>
          <a:ext cx="493059" cy="369795"/>
        </a:xfrm>
        <a:prstGeom prst="dodecag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ysClr val="windowText" lastClr="000000"/>
              </a:solidFill>
            </a:rPr>
            <a:t>12</a:t>
          </a:r>
        </a:p>
      </xdr:txBody>
    </xdr:sp>
    <xdr:clientData/>
  </xdr:twoCellAnchor>
  <xdr:twoCellAnchor>
    <xdr:from>
      <xdr:col>3</xdr:col>
      <xdr:colOff>5804647</xdr:colOff>
      <xdr:row>0</xdr:row>
      <xdr:rowOff>33618</xdr:rowOff>
    </xdr:from>
    <xdr:to>
      <xdr:col>4</xdr:col>
      <xdr:colOff>179294</xdr:colOff>
      <xdr:row>1</xdr:row>
      <xdr:rowOff>1</xdr:rowOff>
    </xdr:to>
    <xdr:sp macro="[0]!CopyPA13" textlink="">
      <xdr:nvSpPr>
        <xdr:cNvPr id="58" name="Dodecagon 57" descr="11">
          <a:extLst>
            <a:ext uri="{FF2B5EF4-FFF2-40B4-BE49-F238E27FC236}">
              <a16:creationId xmlns:a16="http://schemas.microsoft.com/office/drawing/2014/main" id="{00000000-0008-0000-0700-00003A000000}"/>
            </a:ext>
            <a:ext uri="{C183D7F6-B498-43B3-948B-1728B52AA6E4}">
              <adec:decorative xmlns:adec="http://schemas.microsoft.com/office/drawing/2017/decorative" val="0"/>
            </a:ext>
          </a:extLst>
        </xdr:cNvPr>
        <xdr:cNvSpPr/>
      </xdr:nvSpPr>
      <xdr:spPr>
        <a:xfrm>
          <a:off x="8157882" y="33618"/>
          <a:ext cx="493059" cy="369795"/>
        </a:xfrm>
        <a:prstGeom prst="dodecagon">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ysClr val="windowText" lastClr="000000"/>
              </a:solidFill>
            </a:rPr>
            <a:t>13</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52</xdr:row>
          <xdr:rowOff>19050</xdr:rowOff>
        </xdr:from>
        <xdr:to>
          <xdr:col>1</xdr:col>
          <xdr:colOff>1009650</xdr:colOff>
          <xdr:row>53</xdr:row>
          <xdr:rowOff>0</xdr:rowOff>
        </xdr:to>
        <xdr:sp macro="" textlink="">
          <xdr:nvSpPr>
            <xdr:cNvPr id="366593" name="Check Box 1" hidden="1">
              <a:extLst>
                <a:ext uri="{63B3BB69-23CF-44E3-9099-C40C66FF867C}">
                  <a14:compatExt spid="_x0000_s366593"/>
                </a:ext>
                <a:ext uri="{FF2B5EF4-FFF2-40B4-BE49-F238E27FC236}">
                  <a16:creationId xmlns:a16="http://schemas.microsoft.com/office/drawing/2014/main" id="{00000000-0008-0000-0800-00000198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alpha val="0"/>
                    </a:srgbClr>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54</xdr:row>
          <xdr:rowOff>31750</xdr:rowOff>
        </xdr:from>
        <xdr:to>
          <xdr:col>1</xdr:col>
          <xdr:colOff>990600</xdr:colOff>
          <xdr:row>55</xdr:row>
          <xdr:rowOff>0</xdr:rowOff>
        </xdr:to>
        <xdr:sp macro="" textlink="">
          <xdr:nvSpPr>
            <xdr:cNvPr id="366594" name="Check Box 2" hidden="1">
              <a:extLst>
                <a:ext uri="{63B3BB69-23CF-44E3-9099-C40C66FF867C}">
                  <a14:compatExt spid="_x0000_s366594"/>
                </a:ext>
                <a:ext uri="{FF2B5EF4-FFF2-40B4-BE49-F238E27FC236}">
                  <a16:creationId xmlns:a16="http://schemas.microsoft.com/office/drawing/2014/main" id="{00000000-0008-0000-0800-00000298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alpha val="0"/>
                    </a:srgbClr>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87</xdr:row>
          <xdr:rowOff>19050</xdr:rowOff>
        </xdr:from>
        <xdr:to>
          <xdr:col>7</xdr:col>
          <xdr:colOff>88900</xdr:colOff>
          <xdr:row>87</xdr:row>
          <xdr:rowOff>266700</xdr:rowOff>
        </xdr:to>
        <xdr:sp macro="" textlink="">
          <xdr:nvSpPr>
            <xdr:cNvPr id="366626" name="Check Box 34" hidden="1">
              <a:extLst>
                <a:ext uri="{63B3BB69-23CF-44E3-9099-C40C66FF867C}">
                  <a14:compatExt spid="_x0000_s366626"/>
                </a:ext>
                <a:ext uri="{FF2B5EF4-FFF2-40B4-BE49-F238E27FC236}">
                  <a16:creationId xmlns:a16="http://schemas.microsoft.com/office/drawing/2014/main" id="{00000000-0008-0000-0800-00002298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87</xdr:row>
          <xdr:rowOff>19050</xdr:rowOff>
        </xdr:from>
        <xdr:to>
          <xdr:col>7</xdr:col>
          <xdr:colOff>793750</xdr:colOff>
          <xdr:row>87</xdr:row>
          <xdr:rowOff>266700</xdr:rowOff>
        </xdr:to>
        <xdr:sp macro="" textlink="">
          <xdr:nvSpPr>
            <xdr:cNvPr id="366627" name="Check Box 35" hidden="1">
              <a:extLst>
                <a:ext uri="{63B3BB69-23CF-44E3-9099-C40C66FF867C}">
                  <a14:compatExt spid="_x0000_s366627"/>
                </a:ext>
                <a:ext uri="{FF2B5EF4-FFF2-40B4-BE49-F238E27FC236}">
                  <a16:creationId xmlns:a16="http://schemas.microsoft.com/office/drawing/2014/main" id="{00000000-0008-0000-0800-00002398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12700</xdr:colOff>
          <xdr:row>103</xdr:row>
          <xdr:rowOff>12700</xdr:rowOff>
        </xdr:from>
        <xdr:to>
          <xdr:col>8</xdr:col>
          <xdr:colOff>908050</xdr:colOff>
          <xdr:row>103</xdr:row>
          <xdr:rowOff>266700</xdr:rowOff>
        </xdr:to>
        <xdr:sp macro="" textlink="">
          <xdr:nvSpPr>
            <xdr:cNvPr id="366658" name="Check Box 66" hidden="1">
              <a:extLst>
                <a:ext uri="{63B3BB69-23CF-44E3-9099-C40C66FF867C}">
                  <a14:compatExt spid="_x0000_s366658"/>
                </a:ext>
                <a:ext uri="{FF2B5EF4-FFF2-40B4-BE49-F238E27FC236}">
                  <a16:creationId xmlns:a16="http://schemas.microsoft.com/office/drawing/2014/main" id="{00000000-0008-0000-0800-000042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130</xdr:row>
          <xdr:rowOff>12700</xdr:rowOff>
        </xdr:from>
        <xdr:to>
          <xdr:col>1</xdr:col>
          <xdr:colOff>1104900</xdr:colOff>
          <xdr:row>130</xdr:row>
          <xdr:rowOff>266700</xdr:rowOff>
        </xdr:to>
        <xdr:sp macro="" textlink="">
          <xdr:nvSpPr>
            <xdr:cNvPr id="366672" name="Check Box 80" hidden="1">
              <a:extLst>
                <a:ext uri="{63B3BB69-23CF-44E3-9099-C40C66FF867C}">
                  <a14:compatExt spid="_x0000_s366672"/>
                </a:ext>
                <a:ext uri="{FF2B5EF4-FFF2-40B4-BE49-F238E27FC236}">
                  <a16:creationId xmlns:a16="http://schemas.microsoft.com/office/drawing/2014/main" id="{00000000-0008-0000-0800-000050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134</xdr:row>
          <xdr:rowOff>12700</xdr:rowOff>
        </xdr:from>
        <xdr:to>
          <xdr:col>1</xdr:col>
          <xdr:colOff>1104900</xdr:colOff>
          <xdr:row>134</xdr:row>
          <xdr:rowOff>266700</xdr:rowOff>
        </xdr:to>
        <xdr:sp macro="" textlink="">
          <xdr:nvSpPr>
            <xdr:cNvPr id="366674" name="Check Box 82" hidden="1">
              <a:extLst>
                <a:ext uri="{63B3BB69-23CF-44E3-9099-C40C66FF867C}">
                  <a14:compatExt spid="_x0000_s366674"/>
                </a:ext>
                <a:ext uri="{FF2B5EF4-FFF2-40B4-BE49-F238E27FC236}">
                  <a16:creationId xmlns:a16="http://schemas.microsoft.com/office/drawing/2014/main" id="{00000000-0008-0000-0800-000052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138</xdr:row>
          <xdr:rowOff>12700</xdr:rowOff>
        </xdr:from>
        <xdr:to>
          <xdr:col>1</xdr:col>
          <xdr:colOff>1104900</xdr:colOff>
          <xdr:row>138</xdr:row>
          <xdr:rowOff>266700</xdr:rowOff>
        </xdr:to>
        <xdr:sp macro="" textlink="">
          <xdr:nvSpPr>
            <xdr:cNvPr id="366680" name="Check Box 88" hidden="1">
              <a:extLst>
                <a:ext uri="{63B3BB69-23CF-44E3-9099-C40C66FF867C}">
                  <a14:compatExt spid="_x0000_s366680"/>
                </a:ext>
                <a:ext uri="{FF2B5EF4-FFF2-40B4-BE49-F238E27FC236}">
                  <a16:creationId xmlns:a16="http://schemas.microsoft.com/office/drawing/2014/main" id="{00000000-0008-0000-0800-000058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148</xdr:row>
          <xdr:rowOff>12700</xdr:rowOff>
        </xdr:from>
        <xdr:to>
          <xdr:col>1</xdr:col>
          <xdr:colOff>1104900</xdr:colOff>
          <xdr:row>148</xdr:row>
          <xdr:rowOff>266700</xdr:rowOff>
        </xdr:to>
        <xdr:sp macro="" textlink="">
          <xdr:nvSpPr>
            <xdr:cNvPr id="366703" name="Check Box 111" hidden="1">
              <a:extLst>
                <a:ext uri="{63B3BB69-23CF-44E3-9099-C40C66FF867C}">
                  <a14:compatExt spid="_x0000_s366703"/>
                </a:ext>
                <a:ext uri="{FF2B5EF4-FFF2-40B4-BE49-F238E27FC236}">
                  <a16:creationId xmlns:a16="http://schemas.microsoft.com/office/drawing/2014/main" id="{00000000-0008-0000-0800-00006F9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148</xdr:row>
          <xdr:rowOff>12700</xdr:rowOff>
        </xdr:from>
        <xdr:to>
          <xdr:col>2</xdr:col>
          <xdr:colOff>908050</xdr:colOff>
          <xdr:row>148</xdr:row>
          <xdr:rowOff>266700</xdr:rowOff>
        </xdr:to>
        <xdr:sp macro="" textlink="">
          <xdr:nvSpPr>
            <xdr:cNvPr id="366709" name="Check Box 117" hidden="1">
              <a:extLst>
                <a:ext uri="{63B3BB69-23CF-44E3-9099-C40C66FF867C}">
                  <a14:compatExt spid="_x0000_s366709"/>
                </a:ext>
                <a:ext uri="{FF2B5EF4-FFF2-40B4-BE49-F238E27FC236}">
                  <a16:creationId xmlns:a16="http://schemas.microsoft.com/office/drawing/2014/main" id="{00000000-0008-0000-0800-0000759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148</xdr:row>
          <xdr:rowOff>12700</xdr:rowOff>
        </xdr:from>
        <xdr:to>
          <xdr:col>3</xdr:col>
          <xdr:colOff>908050</xdr:colOff>
          <xdr:row>148</xdr:row>
          <xdr:rowOff>266700</xdr:rowOff>
        </xdr:to>
        <xdr:sp macro="" textlink="">
          <xdr:nvSpPr>
            <xdr:cNvPr id="366710" name="Check Box 118" hidden="1">
              <a:extLst>
                <a:ext uri="{63B3BB69-23CF-44E3-9099-C40C66FF867C}">
                  <a14:compatExt spid="_x0000_s366710"/>
                </a:ext>
                <a:ext uri="{FF2B5EF4-FFF2-40B4-BE49-F238E27FC236}">
                  <a16:creationId xmlns:a16="http://schemas.microsoft.com/office/drawing/2014/main" id="{00000000-0008-0000-0800-0000769805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145</xdr:row>
          <xdr:rowOff>12700</xdr:rowOff>
        </xdr:from>
        <xdr:to>
          <xdr:col>2</xdr:col>
          <xdr:colOff>908050</xdr:colOff>
          <xdr:row>145</xdr:row>
          <xdr:rowOff>266700</xdr:rowOff>
        </xdr:to>
        <xdr:sp macro="" textlink="">
          <xdr:nvSpPr>
            <xdr:cNvPr id="366716" name="Check Box 124" hidden="1">
              <a:extLst>
                <a:ext uri="{63B3BB69-23CF-44E3-9099-C40C66FF867C}">
                  <a14:compatExt spid="_x0000_s366716"/>
                </a:ext>
                <a:ext uri="{FF2B5EF4-FFF2-40B4-BE49-F238E27FC236}">
                  <a16:creationId xmlns:a16="http://schemas.microsoft.com/office/drawing/2014/main" id="{00000000-0008-0000-0800-00007C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160</xdr:row>
          <xdr:rowOff>12700</xdr:rowOff>
        </xdr:from>
        <xdr:to>
          <xdr:col>2</xdr:col>
          <xdr:colOff>908050</xdr:colOff>
          <xdr:row>160</xdr:row>
          <xdr:rowOff>266700</xdr:rowOff>
        </xdr:to>
        <xdr:sp macro="" textlink="">
          <xdr:nvSpPr>
            <xdr:cNvPr id="366721" name="Check Box 129" hidden="1">
              <a:extLst>
                <a:ext uri="{63B3BB69-23CF-44E3-9099-C40C66FF867C}">
                  <a14:compatExt spid="_x0000_s366721"/>
                </a:ext>
                <a:ext uri="{FF2B5EF4-FFF2-40B4-BE49-F238E27FC236}">
                  <a16:creationId xmlns:a16="http://schemas.microsoft.com/office/drawing/2014/main" id="{00000000-0008-0000-0800-000081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160</xdr:row>
          <xdr:rowOff>12700</xdr:rowOff>
        </xdr:from>
        <xdr:to>
          <xdr:col>3</xdr:col>
          <xdr:colOff>908050</xdr:colOff>
          <xdr:row>160</xdr:row>
          <xdr:rowOff>266700</xdr:rowOff>
        </xdr:to>
        <xdr:sp macro="" textlink="">
          <xdr:nvSpPr>
            <xdr:cNvPr id="366722" name="Check Box 130" hidden="1">
              <a:extLst>
                <a:ext uri="{63B3BB69-23CF-44E3-9099-C40C66FF867C}">
                  <a14:compatExt spid="_x0000_s366722"/>
                </a:ext>
                <a:ext uri="{FF2B5EF4-FFF2-40B4-BE49-F238E27FC236}">
                  <a16:creationId xmlns:a16="http://schemas.microsoft.com/office/drawing/2014/main" id="{00000000-0008-0000-0800-000082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160</xdr:row>
          <xdr:rowOff>12700</xdr:rowOff>
        </xdr:from>
        <xdr:to>
          <xdr:col>4</xdr:col>
          <xdr:colOff>908050</xdr:colOff>
          <xdr:row>160</xdr:row>
          <xdr:rowOff>266700</xdr:rowOff>
        </xdr:to>
        <xdr:sp macro="" textlink="">
          <xdr:nvSpPr>
            <xdr:cNvPr id="366725" name="Check Box 133" hidden="1">
              <a:extLst>
                <a:ext uri="{63B3BB69-23CF-44E3-9099-C40C66FF867C}">
                  <a14:compatExt spid="_x0000_s366725"/>
                </a:ext>
                <a:ext uri="{FF2B5EF4-FFF2-40B4-BE49-F238E27FC236}">
                  <a16:creationId xmlns:a16="http://schemas.microsoft.com/office/drawing/2014/main" id="{00000000-0008-0000-0800-000085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164</xdr:row>
          <xdr:rowOff>12700</xdr:rowOff>
        </xdr:from>
        <xdr:to>
          <xdr:col>3</xdr:col>
          <xdr:colOff>908050</xdr:colOff>
          <xdr:row>164</xdr:row>
          <xdr:rowOff>266700</xdr:rowOff>
        </xdr:to>
        <xdr:sp macro="" textlink="">
          <xdr:nvSpPr>
            <xdr:cNvPr id="366726" name="Check Box 134" hidden="1">
              <a:extLst>
                <a:ext uri="{63B3BB69-23CF-44E3-9099-C40C66FF867C}">
                  <a14:compatExt spid="_x0000_s366726"/>
                </a:ext>
                <a:ext uri="{FF2B5EF4-FFF2-40B4-BE49-F238E27FC236}">
                  <a16:creationId xmlns:a16="http://schemas.microsoft.com/office/drawing/2014/main" id="{00000000-0008-0000-0800-000086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164</xdr:row>
          <xdr:rowOff>12700</xdr:rowOff>
        </xdr:from>
        <xdr:to>
          <xdr:col>5</xdr:col>
          <xdr:colOff>908050</xdr:colOff>
          <xdr:row>164</xdr:row>
          <xdr:rowOff>266700</xdr:rowOff>
        </xdr:to>
        <xdr:sp macro="" textlink="">
          <xdr:nvSpPr>
            <xdr:cNvPr id="366727" name="Check Box 135" hidden="1">
              <a:extLst>
                <a:ext uri="{63B3BB69-23CF-44E3-9099-C40C66FF867C}">
                  <a14:compatExt spid="_x0000_s366727"/>
                </a:ext>
                <a:ext uri="{FF2B5EF4-FFF2-40B4-BE49-F238E27FC236}">
                  <a16:creationId xmlns:a16="http://schemas.microsoft.com/office/drawing/2014/main" id="{00000000-0008-0000-0800-000087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164</xdr:row>
          <xdr:rowOff>12700</xdr:rowOff>
        </xdr:from>
        <xdr:to>
          <xdr:col>7</xdr:col>
          <xdr:colOff>908050</xdr:colOff>
          <xdr:row>164</xdr:row>
          <xdr:rowOff>266700</xdr:rowOff>
        </xdr:to>
        <xdr:sp macro="" textlink="">
          <xdr:nvSpPr>
            <xdr:cNvPr id="366729" name="Check Box 137" hidden="1">
              <a:extLst>
                <a:ext uri="{63B3BB69-23CF-44E3-9099-C40C66FF867C}">
                  <a14:compatExt spid="_x0000_s366729"/>
                </a:ext>
                <a:ext uri="{FF2B5EF4-FFF2-40B4-BE49-F238E27FC236}">
                  <a16:creationId xmlns:a16="http://schemas.microsoft.com/office/drawing/2014/main" id="{00000000-0008-0000-0800-000089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164</xdr:row>
          <xdr:rowOff>12700</xdr:rowOff>
        </xdr:from>
        <xdr:to>
          <xdr:col>1</xdr:col>
          <xdr:colOff>1104900</xdr:colOff>
          <xdr:row>164</xdr:row>
          <xdr:rowOff>266700</xdr:rowOff>
        </xdr:to>
        <xdr:sp macro="" textlink="">
          <xdr:nvSpPr>
            <xdr:cNvPr id="366731" name="Check Box 139" hidden="1">
              <a:extLst>
                <a:ext uri="{63B3BB69-23CF-44E3-9099-C40C66FF867C}">
                  <a14:compatExt spid="_x0000_s366731"/>
                </a:ext>
                <a:ext uri="{FF2B5EF4-FFF2-40B4-BE49-F238E27FC236}">
                  <a16:creationId xmlns:a16="http://schemas.microsoft.com/office/drawing/2014/main" id="{00000000-0008-0000-0800-00008B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130</xdr:row>
          <xdr:rowOff>12700</xdr:rowOff>
        </xdr:from>
        <xdr:to>
          <xdr:col>6</xdr:col>
          <xdr:colOff>908050</xdr:colOff>
          <xdr:row>130</xdr:row>
          <xdr:rowOff>266700</xdr:rowOff>
        </xdr:to>
        <xdr:sp macro="" textlink="">
          <xdr:nvSpPr>
            <xdr:cNvPr id="366732" name="Check Box 140" hidden="1">
              <a:extLst>
                <a:ext uri="{63B3BB69-23CF-44E3-9099-C40C66FF867C}">
                  <a14:compatExt spid="_x0000_s366732"/>
                </a:ext>
                <a:ext uri="{FF2B5EF4-FFF2-40B4-BE49-F238E27FC236}">
                  <a16:creationId xmlns:a16="http://schemas.microsoft.com/office/drawing/2014/main" id="{00000000-0008-0000-0800-00008C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134</xdr:row>
          <xdr:rowOff>12700</xdr:rowOff>
        </xdr:from>
        <xdr:to>
          <xdr:col>7</xdr:col>
          <xdr:colOff>908050</xdr:colOff>
          <xdr:row>134</xdr:row>
          <xdr:rowOff>266700</xdr:rowOff>
        </xdr:to>
        <xdr:sp macro="" textlink="">
          <xdr:nvSpPr>
            <xdr:cNvPr id="366734" name="Check Box 142" hidden="1">
              <a:extLst>
                <a:ext uri="{63B3BB69-23CF-44E3-9099-C40C66FF867C}">
                  <a14:compatExt spid="_x0000_s366734"/>
                </a:ext>
                <a:ext uri="{FF2B5EF4-FFF2-40B4-BE49-F238E27FC236}">
                  <a16:creationId xmlns:a16="http://schemas.microsoft.com/office/drawing/2014/main" id="{00000000-0008-0000-0800-00008E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118</xdr:row>
          <xdr:rowOff>12700</xdr:rowOff>
        </xdr:from>
        <xdr:to>
          <xdr:col>1</xdr:col>
          <xdr:colOff>1104900</xdr:colOff>
          <xdr:row>118</xdr:row>
          <xdr:rowOff>266700</xdr:rowOff>
        </xdr:to>
        <xdr:sp macro="" textlink="">
          <xdr:nvSpPr>
            <xdr:cNvPr id="366736" name="Check Box 144" hidden="1">
              <a:extLst>
                <a:ext uri="{63B3BB69-23CF-44E3-9099-C40C66FF867C}">
                  <a14:compatExt spid="_x0000_s366736"/>
                </a:ext>
                <a:ext uri="{FF2B5EF4-FFF2-40B4-BE49-F238E27FC236}">
                  <a16:creationId xmlns:a16="http://schemas.microsoft.com/office/drawing/2014/main" id="{00000000-0008-0000-0800-000090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111</xdr:row>
          <xdr:rowOff>12700</xdr:rowOff>
        </xdr:from>
        <xdr:to>
          <xdr:col>1</xdr:col>
          <xdr:colOff>1104900</xdr:colOff>
          <xdr:row>111</xdr:row>
          <xdr:rowOff>266700</xdr:rowOff>
        </xdr:to>
        <xdr:sp macro="" textlink="">
          <xdr:nvSpPr>
            <xdr:cNvPr id="366741" name="Check Box 149" hidden="1">
              <a:extLst>
                <a:ext uri="{63B3BB69-23CF-44E3-9099-C40C66FF867C}">
                  <a14:compatExt spid="_x0000_s366741"/>
                </a:ext>
                <a:ext uri="{FF2B5EF4-FFF2-40B4-BE49-F238E27FC236}">
                  <a16:creationId xmlns:a16="http://schemas.microsoft.com/office/drawing/2014/main" id="{00000000-0008-0000-0800-000095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111</xdr:row>
          <xdr:rowOff>12700</xdr:rowOff>
        </xdr:from>
        <xdr:to>
          <xdr:col>3</xdr:col>
          <xdr:colOff>908050</xdr:colOff>
          <xdr:row>111</xdr:row>
          <xdr:rowOff>266700</xdr:rowOff>
        </xdr:to>
        <xdr:sp macro="" textlink="">
          <xdr:nvSpPr>
            <xdr:cNvPr id="366744" name="Check Box 152" hidden="1">
              <a:extLst>
                <a:ext uri="{63B3BB69-23CF-44E3-9099-C40C66FF867C}">
                  <a14:compatExt spid="_x0000_s366744"/>
                </a:ext>
                <a:ext uri="{FF2B5EF4-FFF2-40B4-BE49-F238E27FC236}">
                  <a16:creationId xmlns:a16="http://schemas.microsoft.com/office/drawing/2014/main" id="{00000000-0008-0000-0800-000098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115</xdr:row>
          <xdr:rowOff>12700</xdr:rowOff>
        </xdr:from>
        <xdr:to>
          <xdr:col>5</xdr:col>
          <xdr:colOff>908050</xdr:colOff>
          <xdr:row>115</xdr:row>
          <xdr:rowOff>266700</xdr:rowOff>
        </xdr:to>
        <xdr:sp macro="" textlink="">
          <xdr:nvSpPr>
            <xdr:cNvPr id="366748" name="Check Box 156" hidden="1">
              <a:extLst>
                <a:ext uri="{63B3BB69-23CF-44E3-9099-C40C66FF867C}">
                  <a14:compatExt spid="_x0000_s366748"/>
                </a:ext>
                <a:ext uri="{FF2B5EF4-FFF2-40B4-BE49-F238E27FC236}">
                  <a16:creationId xmlns:a16="http://schemas.microsoft.com/office/drawing/2014/main" id="{00000000-0008-0000-0800-00009C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115</xdr:row>
          <xdr:rowOff>12700</xdr:rowOff>
        </xdr:from>
        <xdr:to>
          <xdr:col>6</xdr:col>
          <xdr:colOff>908050</xdr:colOff>
          <xdr:row>115</xdr:row>
          <xdr:rowOff>266700</xdr:rowOff>
        </xdr:to>
        <xdr:sp macro="" textlink="">
          <xdr:nvSpPr>
            <xdr:cNvPr id="366749" name="Check Box 157" hidden="1">
              <a:extLst>
                <a:ext uri="{63B3BB69-23CF-44E3-9099-C40C66FF867C}">
                  <a14:compatExt spid="_x0000_s366749"/>
                </a:ext>
                <a:ext uri="{FF2B5EF4-FFF2-40B4-BE49-F238E27FC236}">
                  <a16:creationId xmlns:a16="http://schemas.microsoft.com/office/drawing/2014/main" id="{00000000-0008-0000-0800-00009D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115</xdr:row>
          <xdr:rowOff>12700</xdr:rowOff>
        </xdr:from>
        <xdr:to>
          <xdr:col>7</xdr:col>
          <xdr:colOff>908050</xdr:colOff>
          <xdr:row>115</xdr:row>
          <xdr:rowOff>266700</xdr:rowOff>
        </xdr:to>
        <xdr:sp macro="" textlink="">
          <xdr:nvSpPr>
            <xdr:cNvPr id="366756" name="Check Box 164" hidden="1">
              <a:extLst>
                <a:ext uri="{63B3BB69-23CF-44E3-9099-C40C66FF867C}">
                  <a14:compatExt spid="_x0000_s366756"/>
                </a:ext>
                <a:ext uri="{FF2B5EF4-FFF2-40B4-BE49-F238E27FC236}">
                  <a16:creationId xmlns:a16="http://schemas.microsoft.com/office/drawing/2014/main" id="{00000000-0008-0000-0800-0000A4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115</xdr:row>
          <xdr:rowOff>12700</xdr:rowOff>
        </xdr:from>
        <xdr:to>
          <xdr:col>11</xdr:col>
          <xdr:colOff>908050</xdr:colOff>
          <xdr:row>115</xdr:row>
          <xdr:rowOff>266700</xdr:rowOff>
        </xdr:to>
        <xdr:sp macro="" textlink="">
          <xdr:nvSpPr>
            <xdr:cNvPr id="366757" name="Check Box 165" hidden="1">
              <a:extLst>
                <a:ext uri="{63B3BB69-23CF-44E3-9099-C40C66FF867C}">
                  <a14:compatExt spid="_x0000_s366757"/>
                </a:ext>
                <a:ext uri="{FF2B5EF4-FFF2-40B4-BE49-F238E27FC236}">
                  <a16:creationId xmlns:a16="http://schemas.microsoft.com/office/drawing/2014/main" id="{00000000-0008-0000-0800-0000A5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115</xdr:row>
          <xdr:rowOff>12700</xdr:rowOff>
        </xdr:from>
        <xdr:to>
          <xdr:col>10</xdr:col>
          <xdr:colOff>908050</xdr:colOff>
          <xdr:row>115</xdr:row>
          <xdr:rowOff>266700</xdr:rowOff>
        </xdr:to>
        <xdr:sp macro="" textlink="">
          <xdr:nvSpPr>
            <xdr:cNvPr id="366758" name="Check Box 166" hidden="1">
              <a:extLst>
                <a:ext uri="{63B3BB69-23CF-44E3-9099-C40C66FF867C}">
                  <a14:compatExt spid="_x0000_s366758"/>
                </a:ext>
                <a:ext uri="{FF2B5EF4-FFF2-40B4-BE49-F238E27FC236}">
                  <a16:creationId xmlns:a16="http://schemas.microsoft.com/office/drawing/2014/main" id="{00000000-0008-0000-0800-0000A6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120</xdr:row>
          <xdr:rowOff>12700</xdr:rowOff>
        </xdr:from>
        <xdr:to>
          <xdr:col>3</xdr:col>
          <xdr:colOff>908050</xdr:colOff>
          <xdr:row>120</xdr:row>
          <xdr:rowOff>266700</xdr:rowOff>
        </xdr:to>
        <xdr:sp macro="" textlink="">
          <xdr:nvSpPr>
            <xdr:cNvPr id="366766" name="Check Box 174" hidden="1">
              <a:extLst>
                <a:ext uri="{63B3BB69-23CF-44E3-9099-C40C66FF867C}">
                  <a14:compatExt spid="_x0000_s366766"/>
                </a:ext>
                <a:ext uri="{FF2B5EF4-FFF2-40B4-BE49-F238E27FC236}">
                  <a16:creationId xmlns:a16="http://schemas.microsoft.com/office/drawing/2014/main" id="{00000000-0008-0000-0800-0000AE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123</xdr:row>
          <xdr:rowOff>12700</xdr:rowOff>
        </xdr:from>
        <xdr:to>
          <xdr:col>1</xdr:col>
          <xdr:colOff>1104900</xdr:colOff>
          <xdr:row>123</xdr:row>
          <xdr:rowOff>266700</xdr:rowOff>
        </xdr:to>
        <xdr:sp macro="" textlink="">
          <xdr:nvSpPr>
            <xdr:cNvPr id="366769" name="Check Box 177" hidden="1">
              <a:extLst>
                <a:ext uri="{63B3BB69-23CF-44E3-9099-C40C66FF867C}">
                  <a14:compatExt spid="_x0000_s366769"/>
                </a:ext>
                <a:ext uri="{FF2B5EF4-FFF2-40B4-BE49-F238E27FC236}">
                  <a16:creationId xmlns:a16="http://schemas.microsoft.com/office/drawing/2014/main" id="{00000000-0008-0000-0800-0000B1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123</xdr:row>
          <xdr:rowOff>12700</xdr:rowOff>
        </xdr:from>
        <xdr:to>
          <xdr:col>2</xdr:col>
          <xdr:colOff>908050</xdr:colOff>
          <xdr:row>123</xdr:row>
          <xdr:rowOff>266700</xdr:rowOff>
        </xdr:to>
        <xdr:sp macro="" textlink="">
          <xdr:nvSpPr>
            <xdr:cNvPr id="366770" name="Check Box 178" hidden="1">
              <a:extLst>
                <a:ext uri="{63B3BB69-23CF-44E3-9099-C40C66FF867C}">
                  <a14:compatExt spid="_x0000_s366770"/>
                </a:ext>
                <a:ext uri="{FF2B5EF4-FFF2-40B4-BE49-F238E27FC236}">
                  <a16:creationId xmlns:a16="http://schemas.microsoft.com/office/drawing/2014/main" id="{00000000-0008-0000-0800-0000B2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123</xdr:row>
          <xdr:rowOff>12700</xdr:rowOff>
        </xdr:from>
        <xdr:to>
          <xdr:col>4</xdr:col>
          <xdr:colOff>908050</xdr:colOff>
          <xdr:row>123</xdr:row>
          <xdr:rowOff>266700</xdr:rowOff>
        </xdr:to>
        <xdr:sp macro="" textlink="">
          <xdr:nvSpPr>
            <xdr:cNvPr id="366771" name="Check Box 179" hidden="1">
              <a:extLst>
                <a:ext uri="{63B3BB69-23CF-44E3-9099-C40C66FF867C}">
                  <a14:compatExt spid="_x0000_s366771"/>
                </a:ext>
                <a:ext uri="{FF2B5EF4-FFF2-40B4-BE49-F238E27FC236}">
                  <a16:creationId xmlns:a16="http://schemas.microsoft.com/office/drawing/2014/main" id="{00000000-0008-0000-0800-0000B3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79</xdr:row>
          <xdr:rowOff>12700</xdr:rowOff>
        </xdr:from>
        <xdr:to>
          <xdr:col>1</xdr:col>
          <xdr:colOff>1098550</xdr:colOff>
          <xdr:row>79</xdr:row>
          <xdr:rowOff>266700</xdr:rowOff>
        </xdr:to>
        <xdr:sp macro="" textlink="">
          <xdr:nvSpPr>
            <xdr:cNvPr id="366772" name="Check Box 180" hidden="1">
              <a:extLst>
                <a:ext uri="{63B3BB69-23CF-44E3-9099-C40C66FF867C}">
                  <a14:compatExt spid="_x0000_s366772"/>
                </a:ext>
                <a:ext uri="{FF2B5EF4-FFF2-40B4-BE49-F238E27FC236}">
                  <a16:creationId xmlns:a16="http://schemas.microsoft.com/office/drawing/2014/main" id="{00000000-0008-0000-0800-0000B4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83</xdr:row>
          <xdr:rowOff>12700</xdr:rowOff>
        </xdr:from>
        <xdr:to>
          <xdr:col>1</xdr:col>
          <xdr:colOff>1098550</xdr:colOff>
          <xdr:row>83</xdr:row>
          <xdr:rowOff>266700</xdr:rowOff>
        </xdr:to>
        <xdr:sp macro="" textlink="">
          <xdr:nvSpPr>
            <xdr:cNvPr id="366773" name="Check Box 181" hidden="1">
              <a:extLst>
                <a:ext uri="{63B3BB69-23CF-44E3-9099-C40C66FF867C}">
                  <a14:compatExt spid="_x0000_s366773"/>
                </a:ext>
                <a:ext uri="{FF2B5EF4-FFF2-40B4-BE49-F238E27FC236}">
                  <a16:creationId xmlns:a16="http://schemas.microsoft.com/office/drawing/2014/main" id="{00000000-0008-0000-0800-0000B5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103</xdr:row>
          <xdr:rowOff>12700</xdr:rowOff>
        </xdr:from>
        <xdr:to>
          <xdr:col>2</xdr:col>
          <xdr:colOff>908050</xdr:colOff>
          <xdr:row>103</xdr:row>
          <xdr:rowOff>266700</xdr:rowOff>
        </xdr:to>
        <xdr:sp macro="" textlink="">
          <xdr:nvSpPr>
            <xdr:cNvPr id="366777" name="Check Box 185" hidden="1">
              <a:extLst>
                <a:ext uri="{63B3BB69-23CF-44E3-9099-C40C66FF867C}">
                  <a14:compatExt spid="_x0000_s366777"/>
                </a:ext>
                <a:ext uri="{FF2B5EF4-FFF2-40B4-BE49-F238E27FC236}">
                  <a16:creationId xmlns:a16="http://schemas.microsoft.com/office/drawing/2014/main" id="{00000000-0008-0000-0800-0000B9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103</xdr:row>
          <xdr:rowOff>12700</xdr:rowOff>
        </xdr:from>
        <xdr:to>
          <xdr:col>1</xdr:col>
          <xdr:colOff>1104900</xdr:colOff>
          <xdr:row>103</xdr:row>
          <xdr:rowOff>266700</xdr:rowOff>
        </xdr:to>
        <xdr:sp macro="" textlink="">
          <xdr:nvSpPr>
            <xdr:cNvPr id="366783" name="Check Box 191" hidden="1">
              <a:extLst>
                <a:ext uri="{63B3BB69-23CF-44E3-9099-C40C66FF867C}">
                  <a14:compatExt spid="_x0000_s366783"/>
                </a:ext>
                <a:ext uri="{FF2B5EF4-FFF2-40B4-BE49-F238E27FC236}">
                  <a16:creationId xmlns:a16="http://schemas.microsoft.com/office/drawing/2014/main" id="{00000000-0008-0000-0800-0000BF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103</xdr:row>
          <xdr:rowOff>12700</xdr:rowOff>
        </xdr:from>
        <xdr:to>
          <xdr:col>5</xdr:col>
          <xdr:colOff>908050</xdr:colOff>
          <xdr:row>103</xdr:row>
          <xdr:rowOff>266700</xdr:rowOff>
        </xdr:to>
        <xdr:sp macro="" textlink="">
          <xdr:nvSpPr>
            <xdr:cNvPr id="366785" name="Check Box 193" hidden="1">
              <a:extLst>
                <a:ext uri="{63B3BB69-23CF-44E3-9099-C40C66FF867C}">
                  <a14:compatExt spid="_x0000_s366785"/>
                </a:ext>
                <a:ext uri="{FF2B5EF4-FFF2-40B4-BE49-F238E27FC236}">
                  <a16:creationId xmlns:a16="http://schemas.microsoft.com/office/drawing/2014/main" id="{00000000-0008-0000-0800-0000C1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100</xdr:row>
          <xdr:rowOff>12700</xdr:rowOff>
        </xdr:from>
        <xdr:to>
          <xdr:col>6</xdr:col>
          <xdr:colOff>908050</xdr:colOff>
          <xdr:row>100</xdr:row>
          <xdr:rowOff>266700</xdr:rowOff>
        </xdr:to>
        <xdr:sp macro="" textlink="">
          <xdr:nvSpPr>
            <xdr:cNvPr id="366790" name="Check Box 198" hidden="1">
              <a:extLst>
                <a:ext uri="{63B3BB69-23CF-44E3-9099-C40C66FF867C}">
                  <a14:compatExt spid="_x0000_s366790"/>
                </a:ext>
                <a:ext uri="{FF2B5EF4-FFF2-40B4-BE49-F238E27FC236}">
                  <a16:creationId xmlns:a16="http://schemas.microsoft.com/office/drawing/2014/main" id="{00000000-0008-0000-0800-0000C6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100</xdr:row>
          <xdr:rowOff>12700</xdr:rowOff>
        </xdr:from>
        <xdr:to>
          <xdr:col>1</xdr:col>
          <xdr:colOff>1104900</xdr:colOff>
          <xdr:row>100</xdr:row>
          <xdr:rowOff>266700</xdr:rowOff>
        </xdr:to>
        <xdr:sp macro="" textlink="">
          <xdr:nvSpPr>
            <xdr:cNvPr id="366791" name="Check Box 199" hidden="1">
              <a:extLst>
                <a:ext uri="{63B3BB69-23CF-44E3-9099-C40C66FF867C}">
                  <a14:compatExt spid="_x0000_s366791"/>
                </a:ext>
                <a:ext uri="{FF2B5EF4-FFF2-40B4-BE49-F238E27FC236}">
                  <a16:creationId xmlns:a16="http://schemas.microsoft.com/office/drawing/2014/main" id="{00000000-0008-0000-0800-0000C7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100</xdr:row>
          <xdr:rowOff>12700</xdr:rowOff>
        </xdr:from>
        <xdr:to>
          <xdr:col>3</xdr:col>
          <xdr:colOff>908050</xdr:colOff>
          <xdr:row>100</xdr:row>
          <xdr:rowOff>266700</xdr:rowOff>
        </xdr:to>
        <xdr:sp macro="" textlink="">
          <xdr:nvSpPr>
            <xdr:cNvPr id="366792" name="Check Box 200" hidden="1">
              <a:extLst>
                <a:ext uri="{63B3BB69-23CF-44E3-9099-C40C66FF867C}">
                  <a14:compatExt spid="_x0000_s366792"/>
                </a:ext>
                <a:ext uri="{FF2B5EF4-FFF2-40B4-BE49-F238E27FC236}">
                  <a16:creationId xmlns:a16="http://schemas.microsoft.com/office/drawing/2014/main" id="{00000000-0008-0000-0800-0000C8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100</xdr:row>
          <xdr:rowOff>12700</xdr:rowOff>
        </xdr:from>
        <xdr:to>
          <xdr:col>4</xdr:col>
          <xdr:colOff>908050</xdr:colOff>
          <xdr:row>100</xdr:row>
          <xdr:rowOff>266700</xdr:rowOff>
        </xdr:to>
        <xdr:sp macro="" textlink="">
          <xdr:nvSpPr>
            <xdr:cNvPr id="366793" name="Check Box 201" hidden="1">
              <a:extLst>
                <a:ext uri="{63B3BB69-23CF-44E3-9099-C40C66FF867C}">
                  <a14:compatExt spid="_x0000_s366793"/>
                </a:ext>
                <a:ext uri="{FF2B5EF4-FFF2-40B4-BE49-F238E27FC236}">
                  <a16:creationId xmlns:a16="http://schemas.microsoft.com/office/drawing/2014/main" id="{00000000-0008-0000-0800-0000C9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100</xdr:row>
          <xdr:rowOff>12700</xdr:rowOff>
        </xdr:from>
        <xdr:to>
          <xdr:col>2</xdr:col>
          <xdr:colOff>908050</xdr:colOff>
          <xdr:row>100</xdr:row>
          <xdr:rowOff>266700</xdr:rowOff>
        </xdr:to>
        <xdr:sp macro="" textlink="">
          <xdr:nvSpPr>
            <xdr:cNvPr id="366795" name="Check Box 203" hidden="1">
              <a:extLst>
                <a:ext uri="{63B3BB69-23CF-44E3-9099-C40C66FF867C}">
                  <a14:compatExt spid="_x0000_s366795"/>
                </a:ext>
                <a:ext uri="{FF2B5EF4-FFF2-40B4-BE49-F238E27FC236}">
                  <a16:creationId xmlns:a16="http://schemas.microsoft.com/office/drawing/2014/main" id="{00000000-0008-0000-0800-0000CB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103</xdr:row>
          <xdr:rowOff>12700</xdr:rowOff>
        </xdr:from>
        <xdr:to>
          <xdr:col>10</xdr:col>
          <xdr:colOff>908050</xdr:colOff>
          <xdr:row>103</xdr:row>
          <xdr:rowOff>266700</xdr:rowOff>
        </xdr:to>
        <xdr:sp macro="" textlink="">
          <xdr:nvSpPr>
            <xdr:cNvPr id="366797" name="Check Box 205" hidden="1">
              <a:extLst>
                <a:ext uri="{63B3BB69-23CF-44E3-9099-C40C66FF867C}">
                  <a14:compatExt spid="_x0000_s366797"/>
                </a:ext>
                <a:ext uri="{FF2B5EF4-FFF2-40B4-BE49-F238E27FC236}">
                  <a16:creationId xmlns:a16="http://schemas.microsoft.com/office/drawing/2014/main" id="{00000000-0008-0000-0800-0000CD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103</xdr:row>
          <xdr:rowOff>12700</xdr:rowOff>
        </xdr:from>
        <xdr:to>
          <xdr:col>11</xdr:col>
          <xdr:colOff>908050</xdr:colOff>
          <xdr:row>103</xdr:row>
          <xdr:rowOff>266700</xdr:rowOff>
        </xdr:to>
        <xdr:sp macro="" textlink="">
          <xdr:nvSpPr>
            <xdr:cNvPr id="366798" name="Check Box 206" hidden="1">
              <a:extLst>
                <a:ext uri="{63B3BB69-23CF-44E3-9099-C40C66FF867C}">
                  <a14:compatExt spid="_x0000_s366798"/>
                </a:ext>
                <a:ext uri="{FF2B5EF4-FFF2-40B4-BE49-F238E27FC236}">
                  <a16:creationId xmlns:a16="http://schemas.microsoft.com/office/drawing/2014/main" id="{00000000-0008-0000-0800-0000CE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127</xdr:row>
          <xdr:rowOff>12700</xdr:rowOff>
        </xdr:from>
        <xdr:to>
          <xdr:col>5</xdr:col>
          <xdr:colOff>908050</xdr:colOff>
          <xdr:row>127</xdr:row>
          <xdr:rowOff>266700</xdr:rowOff>
        </xdr:to>
        <xdr:sp macro="" textlink="">
          <xdr:nvSpPr>
            <xdr:cNvPr id="366804" name="Check Box 212" hidden="1">
              <a:extLst>
                <a:ext uri="{63B3BB69-23CF-44E3-9099-C40C66FF867C}">
                  <a14:compatExt spid="_x0000_s366804"/>
                </a:ext>
                <a:ext uri="{FF2B5EF4-FFF2-40B4-BE49-F238E27FC236}">
                  <a16:creationId xmlns:a16="http://schemas.microsoft.com/office/drawing/2014/main" id="{00000000-0008-0000-0800-0000D4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127</xdr:row>
          <xdr:rowOff>12700</xdr:rowOff>
        </xdr:from>
        <xdr:to>
          <xdr:col>7</xdr:col>
          <xdr:colOff>908050</xdr:colOff>
          <xdr:row>127</xdr:row>
          <xdr:rowOff>266700</xdr:rowOff>
        </xdr:to>
        <xdr:sp macro="" textlink="">
          <xdr:nvSpPr>
            <xdr:cNvPr id="366805" name="Check Box 213" hidden="1">
              <a:extLst>
                <a:ext uri="{63B3BB69-23CF-44E3-9099-C40C66FF867C}">
                  <a14:compatExt spid="_x0000_s366805"/>
                </a:ext>
                <a:ext uri="{FF2B5EF4-FFF2-40B4-BE49-F238E27FC236}">
                  <a16:creationId xmlns:a16="http://schemas.microsoft.com/office/drawing/2014/main" id="{00000000-0008-0000-0800-0000D5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96</xdr:row>
          <xdr:rowOff>12700</xdr:rowOff>
        </xdr:from>
        <xdr:to>
          <xdr:col>1</xdr:col>
          <xdr:colOff>1104900</xdr:colOff>
          <xdr:row>96</xdr:row>
          <xdr:rowOff>266700</xdr:rowOff>
        </xdr:to>
        <xdr:sp macro="" textlink="">
          <xdr:nvSpPr>
            <xdr:cNvPr id="366806" name="Check Box 214" hidden="1">
              <a:extLst>
                <a:ext uri="{63B3BB69-23CF-44E3-9099-C40C66FF867C}">
                  <a14:compatExt spid="_x0000_s366806"/>
                </a:ext>
                <a:ext uri="{FF2B5EF4-FFF2-40B4-BE49-F238E27FC236}">
                  <a16:creationId xmlns:a16="http://schemas.microsoft.com/office/drawing/2014/main" id="{00000000-0008-0000-0800-0000D698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96</xdr:row>
          <xdr:rowOff>12700</xdr:rowOff>
        </xdr:from>
        <xdr:to>
          <xdr:col>3</xdr:col>
          <xdr:colOff>908050</xdr:colOff>
          <xdr:row>96</xdr:row>
          <xdr:rowOff>266700</xdr:rowOff>
        </xdr:to>
        <xdr:sp macro="" textlink="">
          <xdr:nvSpPr>
            <xdr:cNvPr id="366807" name="Check Box 215" hidden="1">
              <a:extLst>
                <a:ext uri="{63B3BB69-23CF-44E3-9099-C40C66FF867C}">
                  <a14:compatExt spid="_x0000_s366807"/>
                </a:ext>
                <a:ext uri="{FF2B5EF4-FFF2-40B4-BE49-F238E27FC236}">
                  <a16:creationId xmlns:a16="http://schemas.microsoft.com/office/drawing/2014/main" id="{00000000-0008-0000-0800-0000D7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32</xdr:row>
          <xdr:rowOff>12700</xdr:rowOff>
        </xdr:from>
        <xdr:to>
          <xdr:col>6</xdr:col>
          <xdr:colOff>908050</xdr:colOff>
          <xdr:row>32</xdr:row>
          <xdr:rowOff>266700</xdr:rowOff>
        </xdr:to>
        <xdr:sp macro="" textlink="">
          <xdr:nvSpPr>
            <xdr:cNvPr id="366818" name="Check Box 226" hidden="1">
              <a:extLst>
                <a:ext uri="{63B3BB69-23CF-44E3-9099-C40C66FF867C}">
                  <a14:compatExt spid="_x0000_s366818"/>
                </a:ext>
                <a:ext uri="{FF2B5EF4-FFF2-40B4-BE49-F238E27FC236}">
                  <a16:creationId xmlns:a16="http://schemas.microsoft.com/office/drawing/2014/main" id="{00000000-0008-0000-0800-0000E2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32</xdr:row>
          <xdr:rowOff>12700</xdr:rowOff>
        </xdr:from>
        <xdr:to>
          <xdr:col>7</xdr:col>
          <xdr:colOff>908050</xdr:colOff>
          <xdr:row>32</xdr:row>
          <xdr:rowOff>266700</xdr:rowOff>
        </xdr:to>
        <xdr:sp macro="" textlink="">
          <xdr:nvSpPr>
            <xdr:cNvPr id="366819" name="Check Box 227" hidden="1">
              <a:extLst>
                <a:ext uri="{63B3BB69-23CF-44E3-9099-C40C66FF867C}">
                  <a14:compatExt spid="_x0000_s366819"/>
                </a:ext>
                <a:ext uri="{FF2B5EF4-FFF2-40B4-BE49-F238E27FC236}">
                  <a16:creationId xmlns:a16="http://schemas.microsoft.com/office/drawing/2014/main" id="{00000000-0008-0000-0800-0000E3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87</xdr:row>
          <xdr:rowOff>12700</xdr:rowOff>
        </xdr:from>
        <xdr:to>
          <xdr:col>4</xdr:col>
          <xdr:colOff>908050</xdr:colOff>
          <xdr:row>87</xdr:row>
          <xdr:rowOff>266700</xdr:rowOff>
        </xdr:to>
        <xdr:sp macro="" textlink="">
          <xdr:nvSpPr>
            <xdr:cNvPr id="366824" name="Check Box 232" hidden="1">
              <a:extLst>
                <a:ext uri="{63B3BB69-23CF-44E3-9099-C40C66FF867C}">
                  <a14:compatExt spid="_x0000_s366824"/>
                </a:ext>
                <a:ext uri="{FF2B5EF4-FFF2-40B4-BE49-F238E27FC236}">
                  <a16:creationId xmlns:a16="http://schemas.microsoft.com/office/drawing/2014/main" id="{00000000-0008-0000-0800-0000E8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87</xdr:row>
          <xdr:rowOff>12700</xdr:rowOff>
        </xdr:from>
        <xdr:to>
          <xdr:col>5</xdr:col>
          <xdr:colOff>908050</xdr:colOff>
          <xdr:row>87</xdr:row>
          <xdr:rowOff>266700</xdr:rowOff>
        </xdr:to>
        <xdr:sp macro="" textlink="">
          <xdr:nvSpPr>
            <xdr:cNvPr id="366825" name="Check Box 233" hidden="1">
              <a:extLst>
                <a:ext uri="{63B3BB69-23CF-44E3-9099-C40C66FF867C}">
                  <a14:compatExt spid="_x0000_s366825"/>
                </a:ext>
                <a:ext uri="{FF2B5EF4-FFF2-40B4-BE49-F238E27FC236}">
                  <a16:creationId xmlns:a16="http://schemas.microsoft.com/office/drawing/2014/main" id="{00000000-0008-0000-0800-0000E9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87</xdr:row>
          <xdr:rowOff>12700</xdr:rowOff>
        </xdr:from>
        <xdr:to>
          <xdr:col>6</xdr:col>
          <xdr:colOff>908050</xdr:colOff>
          <xdr:row>87</xdr:row>
          <xdr:rowOff>266700</xdr:rowOff>
        </xdr:to>
        <xdr:sp macro="" textlink="">
          <xdr:nvSpPr>
            <xdr:cNvPr id="366826" name="Check Box 234" hidden="1">
              <a:extLst>
                <a:ext uri="{63B3BB69-23CF-44E3-9099-C40C66FF867C}">
                  <a14:compatExt spid="_x0000_s366826"/>
                </a:ext>
                <a:ext uri="{FF2B5EF4-FFF2-40B4-BE49-F238E27FC236}">
                  <a16:creationId xmlns:a16="http://schemas.microsoft.com/office/drawing/2014/main" id="{00000000-0008-0000-0800-0000EA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87</xdr:row>
          <xdr:rowOff>12700</xdr:rowOff>
        </xdr:from>
        <xdr:to>
          <xdr:col>7</xdr:col>
          <xdr:colOff>908050</xdr:colOff>
          <xdr:row>87</xdr:row>
          <xdr:rowOff>266700</xdr:rowOff>
        </xdr:to>
        <xdr:sp macro="" textlink="">
          <xdr:nvSpPr>
            <xdr:cNvPr id="366827" name="Check Box 235" hidden="1">
              <a:extLst>
                <a:ext uri="{63B3BB69-23CF-44E3-9099-C40C66FF867C}">
                  <a14:compatExt spid="_x0000_s366827"/>
                </a:ext>
                <a:ext uri="{FF2B5EF4-FFF2-40B4-BE49-F238E27FC236}">
                  <a16:creationId xmlns:a16="http://schemas.microsoft.com/office/drawing/2014/main" id="{00000000-0008-0000-0800-0000EB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12700</xdr:colOff>
          <xdr:row>32</xdr:row>
          <xdr:rowOff>12700</xdr:rowOff>
        </xdr:from>
        <xdr:to>
          <xdr:col>8</xdr:col>
          <xdr:colOff>908050</xdr:colOff>
          <xdr:row>32</xdr:row>
          <xdr:rowOff>266700</xdr:rowOff>
        </xdr:to>
        <xdr:sp macro="" textlink="">
          <xdr:nvSpPr>
            <xdr:cNvPr id="366833" name="Check Box 241" hidden="1">
              <a:extLst>
                <a:ext uri="{63B3BB69-23CF-44E3-9099-C40C66FF867C}">
                  <a14:compatExt spid="_x0000_s366833"/>
                </a:ext>
                <a:ext uri="{FF2B5EF4-FFF2-40B4-BE49-F238E27FC236}">
                  <a16:creationId xmlns:a16="http://schemas.microsoft.com/office/drawing/2014/main" id="{00000000-0008-0000-0800-0000F1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32</xdr:row>
          <xdr:rowOff>12700</xdr:rowOff>
        </xdr:from>
        <xdr:to>
          <xdr:col>4</xdr:col>
          <xdr:colOff>908050</xdr:colOff>
          <xdr:row>32</xdr:row>
          <xdr:rowOff>266700</xdr:rowOff>
        </xdr:to>
        <xdr:sp macro="" textlink="">
          <xdr:nvSpPr>
            <xdr:cNvPr id="366834" name="Check Box 242" hidden="1">
              <a:extLst>
                <a:ext uri="{63B3BB69-23CF-44E3-9099-C40C66FF867C}">
                  <a14:compatExt spid="_x0000_s366834"/>
                </a:ext>
                <a:ext uri="{FF2B5EF4-FFF2-40B4-BE49-F238E27FC236}">
                  <a16:creationId xmlns:a16="http://schemas.microsoft.com/office/drawing/2014/main" id="{00000000-0008-0000-0800-0000F2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41</xdr:row>
          <xdr:rowOff>12700</xdr:rowOff>
        </xdr:from>
        <xdr:to>
          <xdr:col>1</xdr:col>
          <xdr:colOff>1098550</xdr:colOff>
          <xdr:row>41</xdr:row>
          <xdr:rowOff>266700</xdr:rowOff>
        </xdr:to>
        <xdr:sp macro="" textlink="">
          <xdr:nvSpPr>
            <xdr:cNvPr id="366836" name="Check Box 244" hidden="1">
              <a:extLst>
                <a:ext uri="{63B3BB69-23CF-44E3-9099-C40C66FF867C}">
                  <a14:compatExt spid="_x0000_s366836"/>
                </a:ext>
                <a:ext uri="{FF2B5EF4-FFF2-40B4-BE49-F238E27FC236}">
                  <a16:creationId xmlns:a16="http://schemas.microsoft.com/office/drawing/2014/main" id="{00000000-0008-0000-0800-0000F4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15</xdr:row>
          <xdr:rowOff>12700</xdr:rowOff>
        </xdr:from>
        <xdr:to>
          <xdr:col>4</xdr:col>
          <xdr:colOff>908050</xdr:colOff>
          <xdr:row>20</xdr:row>
          <xdr:rowOff>254000</xdr:rowOff>
        </xdr:to>
        <xdr:sp macro="" textlink="">
          <xdr:nvSpPr>
            <xdr:cNvPr id="366840" name="Check Box 248" hidden="1">
              <a:extLst>
                <a:ext uri="{63B3BB69-23CF-44E3-9099-C40C66FF867C}">
                  <a14:compatExt spid="_x0000_s366840"/>
                </a:ext>
                <a:ext uri="{FF2B5EF4-FFF2-40B4-BE49-F238E27FC236}">
                  <a16:creationId xmlns:a16="http://schemas.microsoft.com/office/drawing/2014/main" id="{00000000-0008-0000-0800-0000F8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15</xdr:row>
          <xdr:rowOff>12700</xdr:rowOff>
        </xdr:from>
        <xdr:to>
          <xdr:col>11</xdr:col>
          <xdr:colOff>908050</xdr:colOff>
          <xdr:row>20</xdr:row>
          <xdr:rowOff>254000</xdr:rowOff>
        </xdr:to>
        <xdr:sp macro="" textlink="">
          <xdr:nvSpPr>
            <xdr:cNvPr id="366841" name="Check Box 249" hidden="1">
              <a:extLst>
                <a:ext uri="{63B3BB69-23CF-44E3-9099-C40C66FF867C}">
                  <a14:compatExt spid="_x0000_s366841"/>
                </a:ext>
                <a:ext uri="{FF2B5EF4-FFF2-40B4-BE49-F238E27FC236}">
                  <a16:creationId xmlns:a16="http://schemas.microsoft.com/office/drawing/2014/main" id="{00000000-0008-0000-0800-0000F9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15</xdr:row>
          <xdr:rowOff>12700</xdr:rowOff>
        </xdr:from>
        <xdr:to>
          <xdr:col>3</xdr:col>
          <xdr:colOff>908050</xdr:colOff>
          <xdr:row>20</xdr:row>
          <xdr:rowOff>254000</xdr:rowOff>
        </xdr:to>
        <xdr:sp macro="" textlink="">
          <xdr:nvSpPr>
            <xdr:cNvPr id="366844" name="Check Box 252" hidden="1">
              <a:extLst>
                <a:ext uri="{63B3BB69-23CF-44E3-9099-C40C66FF867C}">
                  <a14:compatExt spid="_x0000_s366844"/>
                </a:ext>
                <a:ext uri="{FF2B5EF4-FFF2-40B4-BE49-F238E27FC236}">
                  <a16:creationId xmlns:a16="http://schemas.microsoft.com/office/drawing/2014/main" id="{00000000-0008-0000-0800-0000FC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75</xdr:row>
          <xdr:rowOff>12700</xdr:rowOff>
        </xdr:from>
        <xdr:to>
          <xdr:col>1</xdr:col>
          <xdr:colOff>1098550</xdr:colOff>
          <xdr:row>75</xdr:row>
          <xdr:rowOff>266700</xdr:rowOff>
        </xdr:to>
        <xdr:sp macro="" textlink="">
          <xdr:nvSpPr>
            <xdr:cNvPr id="366845" name="Check Box 253" hidden="1">
              <a:extLst>
                <a:ext uri="{63B3BB69-23CF-44E3-9099-C40C66FF867C}">
                  <a14:compatExt spid="_x0000_s366845"/>
                </a:ext>
                <a:ext uri="{FF2B5EF4-FFF2-40B4-BE49-F238E27FC236}">
                  <a16:creationId xmlns:a16="http://schemas.microsoft.com/office/drawing/2014/main" id="{00000000-0008-0000-0800-0000FD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75</xdr:row>
          <xdr:rowOff>12700</xdr:rowOff>
        </xdr:from>
        <xdr:to>
          <xdr:col>2</xdr:col>
          <xdr:colOff>908050</xdr:colOff>
          <xdr:row>75</xdr:row>
          <xdr:rowOff>266700</xdr:rowOff>
        </xdr:to>
        <xdr:sp macro="" textlink="">
          <xdr:nvSpPr>
            <xdr:cNvPr id="366846" name="Check Box 254" hidden="1">
              <a:extLst>
                <a:ext uri="{63B3BB69-23CF-44E3-9099-C40C66FF867C}">
                  <a14:compatExt spid="_x0000_s366846"/>
                </a:ext>
                <a:ext uri="{FF2B5EF4-FFF2-40B4-BE49-F238E27FC236}">
                  <a16:creationId xmlns:a16="http://schemas.microsoft.com/office/drawing/2014/main" id="{00000000-0008-0000-0800-0000FE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75</xdr:row>
          <xdr:rowOff>12700</xdr:rowOff>
        </xdr:from>
        <xdr:to>
          <xdr:col>3</xdr:col>
          <xdr:colOff>908050</xdr:colOff>
          <xdr:row>75</xdr:row>
          <xdr:rowOff>266700</xdr:rowOff>
        </xdr:to>
        <xdr:sp macro="" textlink="">
          <xdr:nvSpPr>
            <xdr:cNvPr id="366847" name="Check Box 255" hidden="1">
              <a:extLst>
                <a:ext uri="{63B3BB69-23CF-44E3-9099-C40C66FF867C}">
                  <a14:compatExt spid="_x0000_s366847"/>
                </a:ext>
                <a:ext uri="{FF2B5EF4-FFF2-40B4-BE49-F238E27FC236}">
                  <a16:creationId xmlns:a16="http://schemas.microsoft.com/office/drawing/2014/main" id="{00000000-0008-0000-0800-0000FF98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138</xdr:row>
          <xdr:rowOff>12700</xdr:rowOff>
        </xdr:from>
        <xdr:to>
          <xdr:col>5</xdr:col>
          <xdr:colOff>908050</xdr:colOff>
          <xdr:row>138</xdr:row>
          <xdr:rowOff>266700</xdr:rowOff>
        </xdr:to>
        <xdr:sp macro="" textlink="">
          <xdr:nvSpPr>
            <xdr:cNvPr id="366848" name="Check Box 256" hidden="1">
              <a:extLst>
                <a:ext uri="{63B3BB69-23CF-44E3-9099-C40C66FF867C}">
                  <a14:compatExt spid="_x0000_s366848"/>
                </a:ext>
                <a:ext uri="{FF2B5EF4-FFF2-40B4-BE49-F238E27FC236}">
                  <a16:creationId xmlns:a16="http://schemas.microsoft.com/office/drawing/2014/main" id="{00000000-0008-0000-0800-000000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144</xdr:row>
          <xdr:rowOff>12700</xdr:rowOff>
        </xdr:from>
        <xdr:to>
          <xdr:col>3</xdr:col>
          <xdr:colOff>908050</xdr:colOff>
          <xdr:row>144</xdr:row>
          <xdr:rowOff>266700</xdr:rowOff>
        </xdr:to>
        <xdr:sp macro="" textlink="">
          <xdr:nvSpPr>
            <xdr:cNvPr id="366850" name="Check Box 258" hidden="1">
              <a:extLst>
                <a:ext uri="{63B3BB69-23CF-44E3-9099-C40C66FF867C}">
                  <a14:compatExt spid="_x0000_s366850"/>
                </a:ext>
                <a:ext uri="{FF2B5EF4-FFF2-40B4-BE49-F238E27FC236}">
                  <a16:creationId xmlns:a16="http://schemas.microsoft.com/office/drawing/2014/main" id="{00000000-0008-0000-0800-000002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144</xdr:row>
          <xdr:rowOff>12700</xdr:rowOff>
        </xdr:from>
        <xdr:to>
          <xdr:col>7</xdr:col>
          <xdr:colOff>908050</xdr:colOff>
          <xdr:row>144</xdr:row>
          <xdr:rowOff>266700</xdr:rowOff>
        </xdr:to>
        <xdr:sp macro="" textlink="">
          <xdr:nvSpPr>
            <xdr:cNvPr id="366851" name="Check Box 259" hidden="1">
              <a:extLst>
                <a:ext uri="{63B3BB69-23CF-44E3-9099-C40C66FF867C}">
                  <a14:compatExt spid="_x0000_s366851"/>
                </a:ext>
                <a:ext uri="{FF2B5EF4-FFF2-40B4-BE49-F238E27FC236}">
                  <a16:creationId xmlns:a16="http://schemas.microsoft.com/office/drawing/2014/main" id="{00000000-0008-0000-0800-000003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144</xdr:row>
          <xdr:rowOff>12700</xdr:rowOff>
        </xdr:from>
        <xdr:to>
          <xdr:col>4</xdr:col>
          <xdr:colOff>908050</xdr:colOff>
          <xdr:row>144</xdr:row>
          <xdr:rowOff>266700</xdr:rowOff>
        </xdr:to>
        <xdr:sp macro="" textlink="">
          <xdr:nvSpPr>
            <xdr:cNvPr id="366852" name="Check Box 260" hidden="1">
              <a:extLst>
                <a:ext uri="{63B3BB69-23CF-44E3-9099-C40C66FF867C}">
                  <a14:compatExt spid="_x0000_s366852"/>
                </a:ext>
                <a:ext uri="{FF2B5EF4-FFF2-40B4-BE49-F238E27FC236}">
                  <a16:creationId xmlns:a16="http://schemas.microsoft.com/office/drawing/2014/main" id="{00000000-0008-0000-0800-000004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144</xdr:row>
          <xdr:rowOff>12700</xdr:rowOff>
        </xdr:from>
        <xdr:to>
          <xdr:col>1</xdr:col>
          <xdr:colOff>1104900</xdr:colOff>
          <xdr:row>144</xdr:row>
          <xdr:rowOff>266700</xdr:rowOff>
        </xdr:to>
        <xdr:sp macro="" textlink="">
          <xdr:nvSpPr>
            <xdr:cNvPr id="366853" name="Check Box 261" hidden="1">
              <a:extLst>
                <a:ext uri="{63B3BB69-23CF-44E3-9099-C40C66FF867C}">
                  <a14:compatExt spid="_x0000_s366853"/>
                </a:ext>
                <a:ext uri="{FF2B5EF4-FFF2-40B4-BE49-F238E27FC236}">
                  <a16:creationId xmlns:a16="http://schemas.microsoft.com/office/drawing/2014/main" id="{00000000-0008-0000-0800-000005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144</xdr:row>
          <xdr:rowOff>12700</xdr:rowOff>
        </xdr:from>
        <xdr:to>
          <xdr:col>2</xdr:col>
          <xdr:colOff>908050</xdr:colOff>
          <xdr:row>144</xdr:row>
          <xdr:rowOff>266700</xdr:rowOff>
        </xdr:to>
        <xdr:sp macro="" textlink="">
          <xdr:nvSpPr>
            <xdr:cNvPr id="366854" name="Check Box 262" hidden="1">
              <a:extLst>
                <a:ext uri="{63B3BB69-23CF-44E3-9099-C40C66FF867C}">
                  <a14:compatExt spid="_x0000_s366854"/>
                </a:ext>
                <a:ext uri="{FF2B5EF4-FFF2-40B4-BE49-F238E27FC236}">
                  <a16:creationId xmlns:a16="http://schemas.microsoft.com/office/drawing/2014/main" id="{00000000-0008-0000-0800-000006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144</xdr:row>
          <xdr:rowOff>12700</xdr:rowOff>
        </xdr:from>
        <xdr:to>
          <xdr:col>6</xdr:col>
          <xdr:colOff>908050</xdr:colOff>
          <xdr:row>144</xdr:row>
          <xdr:rowOff>266700</xdr:rowOff>
        </xdr:to>
        <xdr:sp macro="" textlink="">
          <xdr:nvSpPr>
            <xdr:cNvPr id="366856" name="Check Box 264" hidden="1">
              <a:extLst>
                <a:ext uri="{63B3BB69-23CF-44E3-9099-C40C66FF867C}">
                  <a14:compatExt spid="_x0000_s366856"/>
                </a:ext>
                <a:ext uri="{FF2B5EF4-FFF2-40B4-BE49-F238E27FC236}">
                  <a16:creationId xmlns:a16="http://schemas.microsoft.com/office/drawing/2014/main" id="{00000000-0008-0000-0800-000008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79</xdr:row>
          <xdr:rowOff>12700</xdr:rowOff>
        </xdr:from>
        <xdr:to>
          <xdr:col>5</xdr:col>
          <xdr:colOff>908050</xdr:colOff>
          <xdr:row>79</xdr:row>
          <xdr:rowOff>266700</xdr:rowOff>
        </xdr:to>
        <xdr:sp macro="" textlink="">
          <xdr:nvSpPr>
            <xdr:cNvPr id="366857" name="Check Box 265" hidden="1">
              <a:extLst>
                <a:ext uri="{63B3BB69-23CF-44E3-9099-C40C66FF867C}">
                  <a14:compatExt spid="_x0000_s366857"/>
                </a:ext>
                <a:ext uri="{FF2B5EF4-FFF2-40B4-BE49-F238E27FC236}">
                  <a16:creationId xmlns:a16="http://schemas.microsoft.com/office/drawing/2014/main" id="{00000000-0008-0000-0800-000009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12700</xdr:colOff>
          <xdr:row>127</xdr:row>
          <xdr:rowOff>12700</xdr:rowOff>
        </xdr:from>
        <xdr:to>
          <xdr:col>8</xdr:col>
          <xdr:colOff>908050</xdr:colOff>
          <xdr:row>127</xdr:row>
          <xdr:rowOff>266700</xdr:rowOff>
        </xdr:to>
        <xdr:sp macro="" textlink="">
          <xdr:nvSpPr>
            <xdr:cNvPr id="366859" name="Check Box 267" hidden="1">
              <a:extLst>
                <a:ext uri="{63B3BB69-23CF-44E3-9099-C40C66FF867C}">
                  <a14:compatExt spid="_x0000_s366859"/>
                </a:ext>
                <a:ext uri="{FF2B5EF4-FFF2-40B4-BE49-F238E27FC236}">
                  <a16:creationId xmlns:a16="http://schemas.microsoft.com/office/drawing/2014/main" id="{00000000-0008-0000-0800-00000B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172</xdr:row>
          <xdr:rowOff>12700</xdr:rowOff>
        </xdr:from>
        <xdr:to>
          <xdr:col>1</xdr:col>
          <xdr:colOff>1104900</xdr:colOff>
          <xdr:row>172</xdr:row>
          <xdr:rowOff>266700</xdr:rowOff>
        </xdr:to>
        <xdr:sp macro="" textlink="">
          <xdr:nvSpPr>
            <xdr:cNvPr id="366860" name="Check Box 268" hidden="1">
              <a:extLst>
                <a:ext uri="{63B3BB69-23CF-44E3-9099-C40C66FF867C}">
                  <a14:compatExt spid="_x0000_s366860"/>
                </a:ext>
                <a:ext uri="{FF2B5EF4-FFF2-40B4-BE49-F238E27FC236}">
                  <a16:creationId xmlns:a16="http://schemas.microsoft.com/office/drawing/2014/main" id="{00000000-0008-0000-0800-00000C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155</xdr:row>
          <xdr:rowOff>12700</xdr:rowOff>
        </xdr:from>
        <xdr:to>
          <xdr:col>1</xdr:col>
          <xdr:colOff>1104900</xdr:colOff>
          <xdr:row>155</xdr:row>
          <xdr:rowOff>266700</xdr:rowOff>
        </xdr:to>
        <xdr:sp macro="" textlink="">
          <xdr:nvSpPr>
            <xdr:cNvPr id="366861" name="Check Box 269" hidden="1">
              <a:extLst>
                <a:ext uri="{63B3BB69-23CF-44E3-9099-C40C66FF867C}">
                  <a14:compatExt spid="_x0000_s366861"/>
                </a:ext>
                <a:ext uri="{FF2B5EF4-FFF2-40B4-BE49-F238E27FC236}">
                  <a16:creationId xmlns:a16="http://schemas.microsoft.com/office/drawing/2014/main" id="{00000000-0008-0000-0800-00000D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12700</xdr:rowOff>
        </xdr:from>
        <xdr:to>
          <xdr:col>1</xdr:col>
          <xdr:colOff>1098550</xdr:colOff>
          <xdr:row>20</xdr:row>
          <xdr:rowOff>254000</xdr:rowOff>
        </xdr:to>
        <xdr:sp macro="" textlink="">
          <xdr:nvSpPr>
            <xdr:cNvPr id="366862" name="Check Box 270" hidden="1">
              <a:extLst>
                <a:ext uri="{63B3BB69-23CF-44E3-9099-C40C66FF867C}">
                  <a14:compatExt spid="_x0000_s366862"/>
                </a:ext>
                <a:ext uri="{FF2B5EF4-FFF2-40B4-BE49-F238E27FC236}">
                  <a16:creationId xmlns:a16="http://schemas.microsoft.com/office/drawing/2014/main" id="{00000000-0008-0000-0800-00000E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127</xdr:row>
          <xdr:rowOff>12700</xdr:rowOff>
        </xdr:from>
        <xdr:to>
          <xdr:col>9</xdr:col>
          <xdr:colOff>908050</xdr:colOff>
          <xdr:row>127</xdr:row>
          <xdr:rowOff>266700</xdr:rowOff>
        </xdr:to>
        <xdr:sp macro="" textlink="">
          <xdr:nvSpPr>
            <xdr:cNvPr id="366870" name="Check Box 278" hidden="1">
              <a:extLst>
                <a:ext uri="{63B3BB69-23CF-44E3-9099-C40C66FF867C}">
                  <a14:compatExt spid="_x0000_s366870"/>
                </a:ext>
                <a:ext uri="{FF2B5EF4-FFF2-40B4-BE49-F238E27FC236}">
                  <a16:creationId xmlns:a16="http://schemas.microsoft.com/office/drawing/2014/main" id="{00000000-0008-0000-0800-000016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170</xdr:row>
          <xdr:rowOff>12700</xdr:rowOff>
        </xdr:from>
        <xdr:to>
          <xdr:col>1</xdr:col>
          <xdr:colOff>1104900</xdr:colOff>
          <xdr:row>170</xdr:row>
          <xdr:rowOff>266700</xdr:rowOff>
        </xdr:to>
        <xdr:sp macro="" textlink="">
          <xdr:nvSpPr>
            <xdr:cNvPr id="366871" name="Check Box 279" hidden="1">
              <a:extLst>
                <a:ext uri="{63B3BB69-23CF-44E3-9099-C40C66FF867C}">
                  <a14:compatExt spid="_x0000_s366871"/>
                </a:ext>
                <a:ext uri="{FF2B5EF4-FFF2-40B4-BE49-F238E27FC236}">
                  <a16:creationId xmlns:a16="http://schemas.microsoft.com/office/drawing/2014/main" id="{00000000-0008-0000-0800-000017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107</xdr:row>
          <xdr:rowOff>12700</xdr:rowOff>
        </xdr:from>
        <xdr:to>
          <xdr:col>1</xdr:col>
          <xdr:colOff>1104900</xdr:colOff>
          <xdr:row>107</xdr:row>
          <xdr:rowOff>266700</xdr:rowOff>
        </xdr:to>
        <xdr:sp macro="" textlink="">
          <xdr:nvSpPr>
            <xdr:cNvPr id="366872" name="Check Box 280" hidden="1">
              <a:extLst>
                <a:ext uri="{63B3BB69-23CF-44E3-9099-C40C66FF867C}">
                  <a14:compatExt spid="_x0000_s366872"/>
                </a:ext>
                <a:ext uri="{FF2B5EF4-FFF2-40B4-BE49-F238E27FC236}">
                  <a16:creationId xmlns:a16="http://schemas.microsoft.com/office/drawing/2014/main" id="{00000000-0008-0000-0800-000018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107</xdr:row>
          <xdr:rowOff>12700</xdr:rowOff>
        </xdr:from>
        <xdr:to>
          <xdr:col>2</xdr:col>
          <xdr:colOff>908050</xdr:colOff>
          <xdr:row>107</xdr:row>
          <xdr:rowOff>266700</xdr:rowOff>
        </xdr:to>
        <xdr:sp macro="" textlink="">
          <xdr:nvSpPr>
            <xdr:cNvPr id="366873" name="Check Box 281" hidden="1">
              <a:extLst>
                <a:ext uri="{63B3BB69-23CF-44E3-9099-C40C66FF867C}">
                  <a14:compatExt spid="_x0000_s366873"/>
                </a:ext>
                <a:ext uri="{FF2B5EF4-FFF2-40B4-BE49-F238E27FC236}">
                  <a16:creationId xmlns:a16="http://schemas.microsoft.com/office/drawing/2014/main" id="{00000000-0008-0000-0800-000019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107</xdr:row>
          <xdr:rowOff>12700</xdr:rowOff>
        </xdr:from>
        <xdr:to>
          <xdr:col>3</xdr:col>
          <xdr:colOff>908050</xdr:colOff>
          <xdr:row>107</xdr:row>
          <xdr:rowOff>266700</xdr:rowOff>
        </xdr:to>
        <xdr:sp macro="" textlink="">
          <xdr:nvSpPr>
            <xdr:cNvPr id="366874" name="Check Box 282" hidden="1">
              <a:extLst>
                <a:ext uri="{63B3BB69-23CF-44E3-9099-C40C66FF867C}">
                  <a14:compatExt spid="_x0000_s366874"/>
                </a:ext>
                <a:ext uri="{FF2B5EF4-FFF2-40B4-BE49-F238E27FC236}">
                  <a16:creationId xmlns:a16="http://schemas.microsoft.com/office/drawing/2014/main" id="{00000000-0008-0000-0800-00001A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107</xdr:row>
          <xdr:rowOff>12700</xdr:rowOff>
        </xdr:from>
        <xdr:to>
          <xdr:col>4</xdr:col>
          <xdr:colOff>908050</xdr:colOff>
          <xdr:row>107</xdr:row>
          <xdr:rowOff>266700</xdr:rowOff>
        </xdr:to>
        <xdr:sp macro="" textlink="">
          <xdr:nvSpPr>
            <xdr:cNvPr id="366875" name="Check Box 283" hidden="1">
              <a:extLst>
                <a:ext uri="{63B3BB69-23CF-44E3-9099-C40C66FF867C}">
                  <a14:compatExt spid="_x0000_s366875"/>
                </a:ext>
                <a:ext uri="{FF2B5EF4-FFF2-40B4-BE49-F238E27FC236}">
                  <a16:creationId xmlns:a16="http://schemas.microsoft.com/office/drawing/2014/main" id="{00000000-0008-0000-0800-00001B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107</xdr:row>
          <xdr:rowOff>12700</xdr:rowOff>
        </xdr:from>
        <xdr:to>
          <xdr:col>5</xdr:col>
          <xdr:colOff>908050</xdr:colOff>
          <xdr:row>107</xdr:row>
          <xdr:rowOff>266700</xdr:rowOff>
        </xdr:to>
        <xdr:sp macro="" textlink="">
          <xdr:nvSpPr>
            <xdr:cNvPr id="366876" name="Check Box 284" hidden="1">
              <a:extLst>
                <a:ext uri="{63B3BB69-23CF-44E3-9099-C40C66FF867C}">
                  <a14:compatExt spid="_x0000_s366876"/>
                </a:ext>
                <a:ext uri="{FF2B5EF4-FFF2-40B4-BE49-F238E27FC236}">
                  <a16:creationId xmlns:a16="http://schemas.microsoft.com/office/drawing/2014/main" id="{00000000-0008-0000-0800-00001C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107</xdr:row>
          <xdr:rowOff>12700</xdr:rowOff>
        </xdr:from>
        <xdr:to>
          <xdr:col>6</xdr:col>
          <xdr:colOff>908050</xdr:colOff>
          <xdr:row>107</xdr:row>
          <xdr:rowOff>266700</xdr:rowOff>
        </xdr:to>
        <xdr:sp macro="" textlink="">
          <xdr:nvSpPr>
            <xdr:cNvPr id="366877" name="Check Box 285" hidden="1">
              <a:extLst>
                <a:ext uri="{63B3BB69-23CF-44E3-9099-C40C66FF867C}">
                  <a14:compatExt spid="_x0000_s366877"/>
                </a:ext>
                <a:ext uri="{FF2B5EF4-FFF2-40B4-BE49-F238E27FC236}">
                  <a16:creationId xmlns:a16="http://schemas.microsoft.com/office/drawing/2014/main" id="{00000000-0008-0000-0800-00001D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92</xdr:row>
          <xdr:rowOff>12700</xdr:rowOff>
        </xdr:from>
        <xdr:to>
          <xdr:col>1</xdr:col>
          <xdr:colOff>1104900</xdr:colOff>
          <xdr:row>92</xdr:row>
          <xdr:rowOff>266700</xdr:rowOff>
        </xdr:to>
        <xdr:sp macro="" textlink="">
          <xdr:nvSpPr>
            <xdr:cNvPr id="366878" name="Check Box 286" hidden="1">
              <a:extLst>
                <a:ext uri="{63B3BB69-23CF-44E3-9099-C40C66FF867C}">
                  <a14:compatExt spid="_x0000_s366878"/>
                </a:ext>
                <a:ext uri="{FF2B5EF4-FFF2-40B4-BE49-F238E27FC236}">
                  <a16:creationId xmlns:a16="http://schemas.microsoft.com/office/drawing/2014/main" id="{00000000-0008-0000-0800-00001E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148</xdr:row>
          <xdr:rowOff>12700</xdr:rowOff>
        </xdr:from>
        <xdr:to>
          <xdr:col>11</xdr:col>
          <xdr:colOff>908050</xdr:colOff>
          <xdr:row>148</xdr:row>
          <xdr:rowOff>266700</xdr:rowOff>
        </xdr:to>
        <xdr:sp macro="" textlink="">
          <xdr:nvSpPr>
            <xdr:cNvPr id="366879" name="Check Box 287" hidden="1">
              <a:extLst>
                <a:ext uri="{63B3BB69-23CF-44E3-9099-C40C66FF867C}">
                  <a14:compatExt spid="_x0000_s366879"/>
                </a:ext>
                <a:ext uri="{FF2B5EF4-FFF2-40B4-BE49-F238E27FC236}">
                  <a16:creationId xmlns:a16="http://schemas.microsoft.com/office/drawing/2014/main" id="{00000000-0008-0000-0800-00001F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2</xdr:row>
          <xdr:rowOff>12700</xdr:rowOff>
        </xdr:from>
        <xdr:to>
          <xdr:col>5</xdr:col>
          <xdr:colOff>908050</xdr:colOff>
          <xdr:row>20</xdr:row>
          <xdr:rowOff>254000</xdr:rowOff>
        </xdr:to>
        <xdr:sp macro="" textlink="">
          <xdr:nvSpPr>
            <xdr:cNvPr id="366880" name="Check Box 288" hidden="1">
              <a:extLst>
                <a:ext uri="{63B3BB69-23CF-44E3-9099-C40C66FF867C}">
                  <a14:compatExt spid="_x0000_s366880"/>
                </a:ext>
                <a:ext uri="{FF2B5EF4-FFF2-40B4-BE49-F238E27FC236}">
                  <a16:creationId xmlns:a16="http://schemas.microsoft.com/office/drawing/2014/main" id="{00000000-0008-0000-0800-000020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111</xdr:row>
          <xdr:rowOff>12700</xdr:rowOff>
        </xdr:from>
        <xdr:to>
          <xdr:col>6</xdr:col>
          <xdr:colOff>908050</xdr:colOff>
          <xdr:row>111</xdr:row>
          <xdr:rowOff>266700</xdr:rowOff>
        </xdr:to>
        <xdr:sp macro="" textlink="">
          <xdr:nvSpPr>
            <xdr:cNvPr id="366881" name="Check Box 289" hidden="1">
              <a:extLst>
                <a:ext uri="{63B3BB69-23CF-44E3-9099-C40C66FF867C}">
                  <a14:compatExt spid="_x0000_s366881"/>
                </a:ext>
                <a:ext uri="{FF2B5EF4-FFF2-40B4-BE49-F238E27FC236}">
                  <a16:creationId xmlns:a16="http://schemas.microsoft.com/office/drawing/2014/main" id="{00000000-0008-0000-0800-000021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94</xdr:row>
          <xdr:rowOff>12700</xdr:rowOff>
        </xdr:from>
        <xdr:to>
          <xdr:col>1</xdr:col>
          <xdr:colOff>1104900</xdr:colOff>
          <xdr:row>94</xdr:row>
          <xdr:rowOff>266700</xdr:rowOff>
        </xdr:to>
        <xdr:sp macro="" textlink="">
          <xdr:nvSpPr>
            <xdr:cNvPr id="366882" name="Check Box 290" hidden="1">
              <a:extLst>
                <a:ext uri="{63B3BB69-23CF-44E3-9099-C40C66FF867C}">
                  <a14:compatExt spid="_x0000_s366882"/>
                </a:ext>
                <a:ext uri="{FF2B5EF4-FFF2-40B4-BE49-F238E27FC236}">
                  <a16:creationId xmlns:a16="http://schemas.microsoft.com/office/drawing/2014/main" id="{00000000-0008-0000-0800-000022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170</xdr:row>
          <xdr:rowOff>12700</xdr:rowOff>
        </xdr:from>
        <xdr:to>
          <xdr:col>2</xdr:col>
          <xdr:colOff>908050</xdr:colOff>
          <xdr:row>170</xdr:row>
          <xdr:rowOff>266700</xdr:rowOff>
        </xdr:to>
        <xdr:sp macro="" textlink="">
          <xdr:nvSpPr>
            <xdr:cNvPr id="366883" name="Check Box 291" hidden="1">
              <a:extLst>
                <a:ext uri="{63B3BB69-23CF-44E3-9099-C40C66FF867C}">
                  <a14:compatExt spid="_x0000_s366883"/>
                </a:ext>
                <a:ext uri="{FF2B5EF4-FFF2-40B4-BE49-F238E27FC236}">
                  <a16:creationId xmlns:a16="http://schemas.microsoft.com/office/drawing/2014/main" id="{00000000-0008-0000-0800-000023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2</xdr:row>
          <xdr:rowOff>12700</xdr:rowOff>
        </xdr:from>
        <xdr:to>
          <xdr:col>3</xdr:col>
          <xdr:colOff>908050</xdr:colOff>
          <xdr:row>20</xdr:row>
          <xdr:rowOff>254000</xdr:rowOff>
        </xdr:to>
        <xdr:sp macro="" textlink="">
          <xdr:nvSpPr>
            <xdr:cNvPr id="366884" name="Check Box 292" hidden="1">
              <a:extLst>
                <a:ext uri="{63B3BB69-23CF-44E3-9099-C40C66FF867C}">
                  <a14:compatExt spid="_x0000_s366884"/>
                </a:ext>
                <a:ext uri="{FF2B5EF4-FFF2-40B4-BE49-F238E27FC236}">
                  <a16:creationId xmlns:a16="http://schemas.microsoft.com/office/drawing/2014/main" id="{00000000-0008-0000-0800-000024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77</xdr:row>
          <xdr:rowOff>12700</xdr:rowOff>
        </xdr:from>
        <xdr:to>
          <xdr:col>1</xdr:col>
          <xdr:colOff>1098550</xdr:colOff>
          <xdr:row>77</xdr:row>
          <xdr:rowOff>266700</xdr:rowOff>
        </xdr:to>
        <xdr:sp macro="" textlink="">
          <xdr:nvSpPr>
            <xdr:cNvPr id="366885" name="Check Box 293" hidden="1">
              <a:extLst>
                <a:ext uri="{63B3BB69-23CF-44E3-9099-C40C66FF867C}">
                  <a14:compatExt spid="_x0000_s366885"/>
                </a:ext>
                <a:ext uri="{FF2B5EF4-FFF2-40B4-BE49-F238E27FC236}">
                  <a16:creationId xmlns:a16="http://schemas.microsoft.com/office/drawing/2014/main" id="{00000000-0008-0000-0800-000025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151</xdr:row>
          <xdr:rowOff>12700</xdr:rowOff>
        </xdr:from>
        <xdr:to>
          <xdr:col>1</xdr:col>
          <xdr:colOff>1104900</xdr:colOff>
          <xdr:row>151</xdr:row>
          <xdr:rowOff>266700</xdr:rowOff>
        </xdr:to>
        <xdr:sp macro="" textlink="">
          <xdr:nvSpPr>
            <xdr:cNvPr id="366888" name="Check Box 296" hidden="1">
              <a:extLst>
                <a:ext uri="{63B3BB69-23CF-44E3-9099-C40C66FF867C}">
                  <a14:compatExt spid="_x0000_s366888"/>
                </a:ext>
                <a:ext uri="{FF2B5EF4-FFF2-40B4-BE49-F238E27FC236}">
                  <a16:creationId xmlns:a16="http://schemas.microsoft.com/office/drawing/2014/main" id="{00000000-0008-0000-0800-000028990500}"/>
                </a:ext>
              </a:extLst>
            </xdr:cNvPr>
            <xdr:cNvSpPr/>
          </xdr:nvSpPr>
          <xdr:spPr bwMode="auto">
            <a:xfrm>
              <a:off x="0" y="0"/>
              <a:ext cx="0" cy="0"/>
            </a:xfrm>
            <a:prstGeom prst="rect">
              <a:avLst/>
            </a:prstGeom>
            <a:solidFill>
              <a:srgbClr val="CC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151</xdr:row>
          <xdr:rowOff>12700</xdr:rowOff>
        </xdr:from>
        <xdr:to>
          <xdr:col>2</xdr:col>
          <xdr:colOff>908050</xdr:colOff>
          <xdr:row>151</xdr:row>
          <xdr:rowOff>266700</xdr:rowOff>
        </xdr:to>
        <xdr:sp macro="" textlink="">
          <xdr:nvSpPr>
            <xdr:cNvPr id="366889" name="Check Box 297" hidden="1">
              <a:extLst>
                <a:ext uri="{63B3BB69-23CF-44E3-9099-C40C66FF867C}">
                  <a14:compatExt spid="_x0000_s366889"/>
                </a:ext>
                <a:ext uri="{FF2B5EF4-FFF2-40B4-BE49-F238E27FC236}">
                  <a16:creationId xmlns:a16="http://schemas.microsoft.com/office/drawing/2014/main" id="{00000000-0008-0000-0800-000029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12700</xdr:colOff>
          <xdr:row>32</xdr:row>
          <xdr:rowOff>12700</xdr:rowOff>
        </xdr:from>
        <xdr:to>
          <xdr:col>11</xdr:col>
          <xdr:colOff>908050</xdr:colOff>
          <xdr:row>32</xdr:row>
          <xdr:rowOff>266700</xdr:rowOff>
        </xdr:to>
        <xdr:sp macro="" textlink="">
          <xdr:nvSpPr>
            <xdr:cNvPr id="366890" name="Check Box 298" hidden="1">
              <a:extLst>
                <a:ext uri="{63B3BB69-23CF-44E3-9099-C40C66FF867C}">
                  <a14:compatExt spid="_x0000_s366890"/>
                </a:ext>
                <a:ext uri="{FF2B5EF4-FFF2-40B4-BE49-F238E27FC236}">
                  <a16:creationId xmlns:a16="http://schemas.microsoft.com/office/drawing/2014/main" id="{00000000-0008-0000-0800-00002A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100</xdr:row>
          <xdr:rowOff>12700</xdr:rowOff>
        </xdr:from>
        <xdr:to>
          <xdr:col>7</xdr:col>
          <xdr:colOff>908050</xdr:colOff>
          <xdr:row>100</xdr:row>
          <xdr:rowOff>266700</xdr:rowOff>
        </xdr:to>
        <xdr:sp macro="" textlink="">
          <xdr:nvSpPr>
            <xdr:cNvPr id="366891" name="Check Box 299" hidden="1">
              <a:extLst>
                <a:ext uri="{63B3BB69-23CF-44E3-9099-C40C66FF867C}">
                  <a14:compatExt spid="_x0000_s366891"/>
                </a:ext>
                <a:ext uri="{FF2B5EF4-FFF2-40B4-BE49-F238E27FC236}">
                  <a16:creationId xmlns:a16="http://schemas.microsoft.com/office/drawing/2014/main" id="{00000000-0008-0000-0800-00002B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71</xdr:row>
          <xdr:rowOff>12700</xdr:rowOff>
        </xdr:from>
        <xdr:to>
          <xdr:col>1</xdr:col>
          <xdr:colOff>1098550</xdr:colOff>
          <xdr:row>71</xdr:row>
          <xdr:rowOff>266700</xdr:rowOff>
        </xdr:to>
        <xdr:sp macro="" textlink="">
          <xdr:nvSpPr>
            <xdr:cNvPr id="366892" name="Check Box 300" hidden="1">
              <a:extLst>
                <a:ext uri="{63B3BB69-23CF-44E3-9099-C40C66FF867C}">
                  <a14:compatExt spid="_x0000_s366892"/>
                </a:ext>
                <a:ext uri="{FF2B5EF4-FFF2-40B4-BE49-F238E27FC236}">
                  <a16:creationId xmlns:a16="http://schemas.microsoft.com/office/drawing/2014/main" id="{00000000-0008-0000-0800-00002C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8</xdr:row>
          <xdr:rowOff>12700</xdr:rowOff>
        </xdr:from>
        <xdr:to>
          <xdr:col>1</xdr:col>
          <xdr:colOff>1098550</xdr:colOff>
          <xdr:row>20</xdr:row>
          <xdr:rowOff>254000</xdr:rowOff>
        </xdr:to>
        <xdr:sp macro="" textlink="">
          <xdr:nvSpPr>
            <xdr:cNvPr id="366893" name="Check Box 301" hidden="1">
              <a:extLst>
                <a:ext uri="{63B3BB69-23CF-44E3-9099-C40C66FF867C}">
                  <a14:compatExt spid="_x0000_s366893"/>
                </a:ext>
                <a:ext uri="{FF2B5EF4-FFF2-40B4-BE49-F238E27FC236}">
                  <a16:creationId xmlns:a16="http://schemas.microsoft.com/office/drawing/2014/main" id="{00000000-0008-0000-0800-00002D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8</xdr:row>
          <xdr:rowOff>12700</xdr:rowOff>
        </xdr:from>
        <xdr:to>
          <xdr:col>6</xdr:col>
          <xdr:colOff>908050</xdr:colOff>
          <xdr:row>20</xdr:row>
          <xdr:rowOff>254000</xdr:rowOff>
        </xdr:to>
        <xdr:sp macro="" textlink="">
          <xdr:nvSpPr>
            <xdr:cNvPr id="366894" name="Check Box 302" hidden="1">
              <a:extLst>
                <a:ext uri="{63B3BB69-23CF-44E3-9099-C40C66FF867C}">
                  <a14:compatExt spid="_x0000_s366894"/>
                </a:ext>
                <a:ext uri="{FF2B5EF4-FFF2-40B4-BE49-F238E27FC236}">
                  <a16:creationId xmlns:a16="http://schemas.microsoft.com/office/drawing/2014/main" id="{00000000-0008-0000-0800-00002E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10</xdr:row>
          <xdr:rowOff>12700</xdr:rowOff>
        </xdr:from>
        <xdr:to>
          <xdr:col>1</xdr:col>
          <xdr:colOff>1098550</xdr:colOff>
          <xdr:row>20</xdr:row>
          <xdr:rowOff>254000</xdr:rowOff>
        </xdr:to>
        <xdr:sp macro="" textlink="">
          <xdr:nvSpPr>
            <xdr:cNvPr id="366895" name="Check Box 303" hidden="1">
              <a:extLst>
                <a:ext uri="{63B3BB69-23CF-44E3-9099-C40C66FF867C}">
                  <a14:compatExt spid="_x0000_s366895"/>
                </a:ext>
                <a:ext uri="{FF2B5EF4-FFF2-40B4-BE49-F238E27FC236}">
                  <a16:creationId xmlns:a16="http://schemas.microsoft.com/office/drawing/2014/main" id="{00000000-0008-0000-0800-00002F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10</xdr:row>
          <xdr:rowOff>12700</xdr:rowOff>
        </xdr:from>
        <xdr:to>
          <xdr:col>6</xdr:col>
          <xdr:colOff>908050</xdr:colOff>
          <xdr:row>20</xdr:row>
          <xdr:rowOff>254000</xdr:rowOff>
        </xdr:to>
        <xdr:sp macro="" textlink="">
          <xdr:nvSpPr>
            <xdr:cNvPr id="366896" name="Check Box 304" hidden="1">
              <a:extLst>
                <a:ext uri="{63B3BB69-23CF-44E3-9099-C40C66FF867C}">
                  <a14:compatExt spid="_x0000_s366896"/>
                </a:ext>
                <a:ext uri="{FF2B5EF4-FFF2-40B4-BE49-F238E27FC236}">
                  <a16:creationId xmlns:a16="http://schemas.microsoft.com/office/drawing/2014/main" id="{00000000-0008-0000-0800-000030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12</xdr:row>
          <xdr:rowOff>12700</xdr:rowOff>
        </xdr:from>
        <xdr:to>
          <xdr:col>1</xdr:col>
          <xdr:colOff>1098550</xdr:colOff>
          <xdr:row>20</xdr:row>
          <xdr:rowOff>254000</xdr:rowOff>
        </xdr:to>
        <xdr:sp macro="" textlink="">
          <xdr:nvSpPr>
            <xdr:cNvPr id="366897" name="Check Box 305" hidden="1">
              <a:extLst>
                <a:ext uri="{63B3BB69-23CF-44E3-9099-C40C66FF867C}">
                  <a14:compatExt spid="_x0000_s366897"/>
                </a:ext>
                <a:ext uri="{FF2B5EF4-FFF2-40B4-BE49-F238E27FC236}">
                  <a16:creationId xmlns:a16="http://schemas.microsoft.com/office/drawing/2014/main" id="{00000000-0008-0000-0800-000031990500}"/>
                </a:ext>
              </a:extLst>
            </xdr:cNvPr>
            <xdr:cNvSpPr/>
          </xdr:nvSpPr>
          <xdr:spPr bwMode="auto">
            <a:xfrm>
              <a:off x="0" y="0"/>
              <a:ext cx="0" cy="0"/>
            </a:xfrm>
            <a:prstGeom prst="rect">
              <a:avLst/>
            </a:prstGeom>
            <a:solidFill>
              <a:srgbClr val="CCFFCC" mc:Ignorable="a14" a14:legacySpreadsheetColorIndex="42"/>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47626</xdr:rowOff>
    </xdr:from>
    <xdr:to>
      <xdr:col>0</xdr:col>
      <xdr:colOff>1662113</xdr:colOff>
      <xdr:row>2</xdr:row>
      <xdr:rowOff>215934</xdr:rowOff>
    </xdr:to>
    <xdr:pic>
      <xdr:nvPicPr>
        <xdr:cNvPr id="2" name="Picture 1">
          <a:extLst>
            <a:ext uri="{FF2B5EF4-FFF2-40B4-BE49-F238E27FC236}">
              <a16:creationId xmlns:a16="http://schemas.microsoft.com/office/drawing/2014/main" id="{0FF98225-7D14-4E4A-A7DA-0AAC9C4705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47626"/>
          <a:ext cx="1585913" cy="84140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93FC1-37B3-4993-AD5D-66D2BF1A03FC}" name="Table1" displayName="Table1" ref="B2:L13" totalsRowShown="0" dataDxfId="100" tableBorderDxfId="99">
  <tableColumns count="11">
    <tableColumn id="1" xr3:uid="{337897A2-4F4C-4C62-BF19-EC90981E3A11}" name="Column1" dataDxfId="98"/>
    <tableColumn id="2" xr3:uid="{871CE637-2AAB-4B3D-986F-8A8FC59DC961}" name="Column2"/>
    <tableColumn id="3" xr3:uid="{6F25DE94-54B3-4B12-9A8C-791C82047107}" name="Column3" dataDxfId="97"/>
    <tableColumn id="4" xr3:uid="{AABB07F9-A06A-4B70-9B16-3B3BD3727A73}" name="Column4" dataDxfId="96" dataCellStyle="Normal 3"/>
    <tableColumn id="5" xr3:uid="{8C7BB5C0-9E87-4A42-AEC2-719472C325DB}" name="Column5" dataDxfId="95"/>
    <tableColumn id="6" xr3:uid="{D9BB1454-B18F-4F77-87AB-D0511950223F}" name="Column6" dataDxfId="94"/>
    <tableColumn id="7" xr3:uid="{4ACD6200-A3F9-4CBE-A358-79161A13909A}" name="Column7" dataDxfId="93"/>
    <tableColumn id="8" xr3:uid="{07A15E24-0468-451C-8652-7753AC869DBA}" name="Column8" dataDxfId="92"/>
    <tableColumn id="9" xr3:uid="{A930E410-9406-42D2-A420-DB9034EDF648}" name="Column9" dataDxfId="91"/>
    <tableColumn id="10" xr3:uid="{4A96A564-8D4C-47FF-BC39-63DC1EFC011B}" name="Column10" dataDxfId="90"/>
    <tableColumn id="11" xr3:uid="{22EA012C-A4B7-43A3-BCF0-73E15F69C658}" name="Column11" dataDxfId="89" dataCellStyle="Normal 3"/>
  </tableColumns>
  <tableStyleInfo name="TableStyleLight6"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www.estsglobal.com/zh-CN/resources/min_wages" TargetMode="External"/><Relationship Id="rId7" Type="http://schemas.openxmlformats.org/officeDocument/2006/relationships/ctrlProp" Target="../ctrlProps/ctrlProp1.xml"/><Relationship Id="rId2" Type="http://schemas.openxmlformats.org/officeDocument/2006/relationships/hyperlink" Target="..\..\autoTools\China%20-%20Minimum%20wage.xlsx" TargetMode="External"/><Relationship Id="rId1" Type="http://schemas.openxmlformats.org/officeDocument/2006/relationships/hyperlink" Target="https://www.tianyancha.com/"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jacky@kingslong.com"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 Type="http://schemas.openxmlformats.org/officeDocument/2006/relationships/vmlDrawing" Target="../drawings/vmlDrawing4.vml"/><Relationship Id="rId21" Type="http://schemas.openxmlformats.org/officeDocument/2006/relationships/ctrlProp" Target="../ctrlProps/ctrlProp26.xml"/><Relationship Id="rId34" Type="http://schemas.openxmlformats.org/officeDocument/2006/relationships/ctrlProp" Target="../ctrlProps/ctrlProp39.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2" Type="http://schemas.openxmlformats.org/officeDocument/2006/relationships/drawing" Target="../drawings/drawing8.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8"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26" Type="http://schemas.openxmlformats.org/officeDocument/2006/relationships/ctrlProp" Target="../ctrlProps/ctrlProp63.xml"/><Relationship Id="rId21" Type="http://schemas.openxmlformats.org/officeDocument/2006/relationships/ctrlProp" Target="../ctrlProps/ctrlProp58.xml"/><Relationship Id="rId42" Type="http://schemas.openxmlformats.org/officeDocument/2006/relationships/ctrlProp" Target="../ctrlProps/ctrlProp79.xml"/><Relationship Id="rId47" Type="http://schemas.openxmlformats.org/officeDocument/2006/relationships/ctrlProp" Target="../ctrlProps/ctrlProp84.xml"/><Relationship Id="rId63" Type="http://schemas.openxmlformats.org/officeDocument/2006/relationships/ctrlProp" Target="../ctrlProps/ctrlProp100.xml"/><Relationship Id="rId68" Type="http://schemas.openxmlformats.org/officeDocument/2006/relationships/ctrlProp" Target="../ctrlProps/ctrlProp105.xml"/><Relationship Id="rId84" Type="http://schemas.openxmlformats.org/officeDocument/2006/relationships/ctrlProp" Target="../ctrlProps/ctrlProp121.xml"/><Relationship Id="rId89" Type="http://schemas.openxmlformats.org/officeDocument/2006/relationships/ctrlProp" Target="../ctrlProps/ctrlProp126.xml"/><Relationship Id="rId16" Type="http://schemas.openxmlformats.org/officeDocument/2006/relationships/ctrlProp" Target="../ctrlProps/ctrlProp53.xml"/><Relationship Id="rId11" Type="http://schemas.openxmlformats.org/officeDocument/2006/relationships/ctrlProp" Target="../ctrlProps/ctrlProp48.xml"/><Relationship Id="rId32" Type="http://schemas.openxmlformats.org/officeDocument/2006/relationships/ctrlProp" Target="../ctrlProps/ctrlProp69.xml"/><Relationship Id="rId37" Type="http://schemas.openxmlformats.org/officeDocument/2006/relationships/ctrlProp" Target="../ctrlProps/ctrlProp74.xml"/><Relationship Id="rId53" Type="http://schemas.openxmlformats.org/officeDocument/2006/relationships/ctrlProp" Target="../ctrlProps/ctrlProp90.xml"/><Relationship Id="rId58" Type="http://schemas.openxmlformats.org/officeDocument/2006/relationships/ctrlProp" Target="../ctrlProps/ctrlProp95.xml"/><Relationship Id="rId74" Type="http://schemas.openxmlformats.org/officeDocument/2006/relationships/ctrlProp" Target="../ctrlProps/ctrlProp111.xml"/><Relationship Id="rId79" Type="http://schemas.openxmlformats.org/officeDocument/2006/relationships/ctrlProp" Target="../ctrlProps/ctrlProp116.xml"/><Relationship Id="rId102" Type="http://schemas.openxmlformats.org/officeDocument/2006/relationships/ctrlProp" Target="../ctrlProps/ctrlProp139.xml"/><Relationship Id="rId5" Type="http://schemas.openxmlformats.org/officeDocument/2006/relationships/ctrlProp" Target="../ctrlProps/ctrlProp42.xml"/><Relationship Id="rId90" Type="http://schemas.openxmlformats.org/officeDocument/2006/relationships/ctrlProp" Target="../ctrlProps/ctrlProp127.xml"/><Relationship Id="rId95" Type="http://schemas.openxmlformats.org/officeDocument/2006/relationships/ctrlProp" Target="../ctrlProps/ctrlProp132.xml"/><Relationship Id="rId22" Type="http://schemas.openxmlformats.org/officeDocument/2006/relationships/ctrlProp" Target="../ctrlProps/ctrlProp59.xml"/><Relationship Id="rId27" Type="http://schemas.openxmlformats.org/officeDocument/2006/relationships/ctrlProp" Target="../ctrlProps/ctrlProp64.xml"/><Relationship Id="rId43" Type="http://schemas.openxmlformats.org/officeDocument/2006/relationships/ctrlProp" Target="../ctrlProps/ctrlProp80.xml"/><Relationship Id="rId48" Type="http://schemas.openxmlformats.org/officeDocument/2006/relationships/ctrlProp" Target="../ctrlProps/ctrlProp85.xml"/><Relationship Id="rId64" Type="http://schemas.openxmlformats.org/officeDocument/2006/relationships/ctrlProp" Target="../ctrlProps/ctrlProp101.xml"/><Relationship Id="rId69" Type="http://schemas.openxmlformats.org/officeDocument/2006/relationships/ctrlProp" Target="../ctrlProps/ctrlProp106.xml"/><Relationship Id="rId80" Type="http://schemas.openxmlformats.org/officeDocument/2006/relationships/ctrlProp" Target="../ctrlProps/ctrlProp117.xml"/><Relationship Id="rId85" Type="http://schemas.openxmlformats.org/officeDocument/2006/relationships/ctrlProp" Target="../ctrlProps/ctrlProp122.xml"/><Relationship Id="rId12" Type="http://schemas.openxmlformats.org/officeDocument/2006/relationships/ctrlProp" Target="../ctrlProps/ctrlProp49.xml"/><Relationship Id="rId17" Type="http://schemas.openxmlformats.org/officeDocument/2006/relationships/ctrlProp" Target="../ctrlProps/ctrlProp54.xml"/><Relationship Id="rId33" Type="http://schemas.openxmlformats.org/officeDocument/2006/relationships/ctrlProp" Target="../ctrlProps/ctrlProp70.xml"/><Relationship Id="rId38" Type="http://schemas.openxmlformats.org/officeDocument/2006/relationships/ctrlProp" Target="../ctrlProps/ctrlProp75.xml"/><Relationship Id="rId59" Type="http://schemas.openxmlformats.org/officeDocument/2006/relationships/ctrlProp" Target="../ctrlProps/ctrlProp96.xml"/><Relationship Id="rId103" Type="http://schemas.openxmlformats.org/officeDocument/2006/relationships/ctrlProp" Target="../ctrlProps/ctrlProp140.xml"/><Relationship Id="rId20" Type="http://schemas.openxmlformats.org/officeDocument/2006/relationships/ctrlProp" Target="../ctrlProps/ctrlProp57.xml"/><Relationship Id="rId41" Type="http://schemas.openxmlformats.org/officeDocument/2006/relationships/ctrlProp" Target="../ctrlProps/ctrlProp78.xml"/><Relationship Id="rId54" Type="http://schemas.openxmlformats.org/officeDocument/2006/relationships/ctrlProp" Target="../ctrlProps/ctrlProp91.xml"/><Relationship Id="rId62" Type="http://schemas.openxmlformats.org/officeDocument/2006/relationships/ctrlProp" Target="../ctrlProps/ctrlProp99.xml"/><Relationship Id="rId70" Type="http://schemas.openxmlformats.org/officeDocument/2006/relationships/ctrlProp" Target="../ctrlProps/ctrlProp107.xml"/><Relationship Id="rId75" Type="http://schemas.openxmlformats.org/officeDocument/2006/relationships/ctrlProp" Target="../ctrlProps/ctrlProp112.xml"/><Relationship Id="rId83" Type="http://schemas.openxmlformats.org/officeDocument/2006/relationships/ctrlProp" Target="../ctrlProps/ctrlProp120.xml"/><Relationship Id="rId88" Type="http://schemas.openxmlformats.org/officeDocument/2006/relationships/ctrlProp" Target="../ctrlProps/ctrlProp125.xml"/><Relationship Id="rId91" Type="http://schemas.openxmlformats.org/officeDocument/2006/relationships/ctrlProp" Target="../ctrlProps/ctrlProp128.xml"/><Relationship Id="rId96" Type="http://schemas.openxmlformats.org/officeDocument/2006/relationships/ctrlProp" Target="../ctrlProps/ctrlProp133.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15" Type="http://schemas.openxmlformats.org/officeDocument/2006/relationships/ctrlProp" Target="../ctrlProps/ctrlProp52.xml"/><Relationship Id="rId23" Type="http://schemas.openxmlformats.org/officeDocument/2006/relationships/ctrlProp" Target="../ctrlProps/ctrlProp60.xml"/><Relationship Id="rId28" Type="http://schemas.openxmlformats.org/officeDocument/2006/relationships/ctrlProp" Target="../ctrlProps/ctrlProp65.xml"/><Relationship Id="rId36" Type="http://schemas.openxmlformats.org/officeDocument/2006/relationships/ctrlProp" Target="../ctrlProps/ctrlProp73.xml"/><Relationship Id="rId49" Type="http://schemas.openxmlformats.org/officeDocument/2006/relationships/ctrlProp" Target="../ctrlProps/ctrlProp86.xml"/><Relationship Id="rId57" Type="http://schemas.openxmlformats.org/officeDocument/2006/relationships/ctrlProp" Target="../ctrlProps/ctrlProp94.xml"/><Relationship Id="rId106" Type="http://schemas.openxmlformats.org/officeDocument/2006/relationships/comments" Target="../comments1.xml"/><Relationship Id="rId10" Type="http://schemas.openxmlformats.org/officeDocument/2006/relationships/ctrlProp" Target="../ctrlProps/ctrlProp47.xml"/><Relationship Id="rId31" Type="http://schemas.openxmlformats.org/officeDocument/2006/relationships/ctrlProp" Target="../ctrlProps/ctrlProp68.xml"/><Relationship Id="rId44" Type="http://schemas.openxmlformats.org/officeDocument/2006/relationships/ctrlProp" Target="../ctrlProps/ctrlProp81.xml"/><Relationship Id="rId52" Type="http://schemas.openxmlformats.org/officeDocument/2006/relationships/ctrlProp" Target="../ctrlProps/ctrlProp89.xml"/><Relationship Id="rId60" Type="http://schemas.openxmlformats.org/officeDocument/2006/relationships/ctrlProp" Target="../ctrlProps/ctrlProp97.xml"/><Relationship Id="rId65" Type="http://schemas.openxmlformats.org/officeDocument/2006/relationships/ctrlProp" Target="../ctrlProps/ctrlProp102.xml"/><Relationship Id="rId73" Type="http://schemas.openxmlformats.org/officeDocument/2006/relationships/ctrlProp" Target="../ctrlProps/ctrlProp110.xml"/><Relationship Id="rId78" Type="http://schemas.openxmlformats.org/officeDocument/2006/relationships/ctrlProp" Target="../ctrlProps/ctrlProp115.xml"/><Relationship Id="rId81" Type="http://schemas.openxmlformats.org/officeDocument/2006/relationships/ctrlProp" Target="../ctrlProps/ctrlProp118.xml"/><Relationship Id="rId86" Type="http://schemas.openxmlformats.org/officeDocument/2006/relationships/ctrlProp" Target="../ctrlProps/ctrlProp123.xml"/><Relationship Id="rId94" Type="http://schemas.openxmlformats.org/officeDocument/2006/relationships/ctrlProp" Target="../ctrlProps/ctrlProp131.xml"/><Relationship Id="rId99" Type="http://schemas.openxmlformats.org/officeDocument/2006/relationships/ctrlProp" Target="../ctrlProps/ctrlProp136.xml"/><Relationship Id="rId101" Type="http://schemas.openxmlformats.org/officeDocument/2006/relationships/ctrlProp" Target="../ctrlProps/ctrlProp138.xml"/><Relationship Id="rId4" Type="http://schemas.openxmlformats.org/officeDocument/2006/relationships/ctrlProp" Target="../ctrlProps/ctrlProp41.xml"/><Relationship Id="rId9" Type="http://schemas.openxmlformats.org/officeDocument/2006/relationships/ctrlProp" Target="../ctrlProps/ctrlProp46.xml"/><Relationship Id="rId13" Type="http://schemas.openxmlformats.org/officeDocument/2006/relationships/ctrlProp" Target="../ctrlProps/ctrlProp50.xml"/><Relationship Id="rId18" Type="http://schemas.openxmlformats.org/officeDocument/2006/relationships/ctrlProp" Target="../ctrlProps/ctrlProp55.xml"/><Relationship Id="rId39" Type="http://schemas.openxmlformats.org/officeDocument/2006/relationships/ctrlProp" Target="../ctrlProps/ctrlProp76.xml"/><Relationship Id="rId34" Type="http://schemas.openxmlformats.org/officeDocument/2006/relationships/ctrlProp" Target="../ctrlProps/ctrlProp71.xml"/><Relationship Id="rId50" Type="http://schemas.openxmlformats.org/officeDocument/2006/relationships/ctrlProp" Target="../ctrlProps/ctrlProp87.xml"/><Relationship Id="rId55" Type="http://schemas.openxmlformats.org/officeDocument/2006/relationships/ctrlProp" Target="../ctrlProps/ctrlProp92.xml"/><Relationship Id="rId76" Type="http://schemas.openxmlformats.org/officeDocument/2006/relationships/ctrlProp" Target="../ctrlProps/ctrlProp113.xml"/><Relationship Id="rId97" Type="http://schemas.openxmlformats.org/officeDocument/2006/relationships/ctrlProp" Target="../ctrlProps/ctrlProp134.xml"/><Relationship Id="rId104" Type="http://schemas.openxmlformats.org/officeDocument/2006/relationships/ctrlProp" Target="../ctrlProps/ctrlProp141.xml"/><Relationship Id="rId7" Type="http://schemas.openxmlformats.org/officeDocument/2006/relationships/ctrlProp" Target="../ctrlProps/ctrlProp44.xml"/><Relationship Id="rId71" Type="http://schemas.openxmlformats.org/officeDocument/2006/relationships/ctrlProp" Target="../ctrlProps/ctrlProp108.xml"/><Relationship Id="rId92" Type="http://schemas.openxmlformats.org/officeDocument/2006/relationships/ctrlProp" Target="../ctrlProps/ctrlProp129.xml"/><Relationship Id="rId2" Type="http://schemas.openxmlformats.org/officeDocument/2006/relationships/drawing" Target="../drawings/drawing9.xml"/><Relationship Id="rId29" Type="http://schemas.openxmlformats.org/officeDocument/2006/relationships/ctrlProp" Target="../ctrlProps/ctrlProp66.xml"/><Relationship Id="rId24" Type="http://schemas.openxmlformats.org/officeDocument/2006/relationships/ctrlProp" Target="../ctrlProps/ctrlProp61.xml"/><Relationship Id="rId40" Type="http://schemas.openxmlformats.org/officeDocument/2006/relationships/ctrlProp" Target="../ctrlProps/ctrlProp77.xml"/><Relationship Id="rId45" Type="http://schemas.openxmlformats.org/officeDocument/2006/relationships/ctrlProp" Target="../ctrlProps/ctrlProp82.xml"/><Relationship Id="rId66" Type="http://schemas.openxmlformats.org/officeDocument/2006/relationships/ctrlProp" Target="../ctrlProps/ctrlProp103.xml"/><Relationship Id="rId87" Type="http://schemas.openxmlformats.org/officeDocument/2006/relationships/ctrlProp" Target="../ctrlProps/ctrlProp124.xml"/><Relationship Id="rId61" Type="http://schemas.openxmlformats.org/officeDocument/2006/relationships/ctrlProp" Target="../ctrlProps/ctrlProp98.xml"/><Relationship Id="rId82" Type="http://schemas.openxmlformats.org/officeDocument/2006/relationships/ctrlProp" Target="../ctrlProps/ctrlProp119.xml"/><Relationship Id="rId19" Type="http://schemas.openxmlformats.org/officeDocument/2006/relationships/ctrlProp" Target="../ctrlProps/ctrlProp56.xml"/><Relationship Id="rId14" Type="http://schemas.openxmlformats.org/officeDocument/2006/relationships/ctrlProp" Target="../ctrlProps/ctrlProp51.xml"/><Relationship Id="rId30" Type="http://schemas.openxmlformats.org/officeDocument/2006/relationships/ctrlProp" Target="../ctrlProps/ctrlProp67.xml"/><Relationship Id="rId35" Type="http://schemas.openxmlformats.org/officeDocument/2006/relationships/ctrlProp" Target="../ctrlProps/ctrlProp72.xml"/><Relationship Id="rId56" Type="http://schemas.openxmlformats.org/officeDocument/2006/relationships/ctrlProp" Target="../ctrlProps/ctrlProp93.xml"/><Relationship Id="rId77" Type="http://schemas.openxmlformats.org/officeDocument/2006/relationships/ctrlProp" Target="../ctrlProps/ctrlProp114.xml"/><Relationship Id="rId100" Type="http://schemas.openxmlformats.org/officeDocument/2006/relationships/ctrlProp" Target="../ctrlProps/ctrlProp137.xml"/><Relationship Id="rId105" Type="http://schemas.openxmlformats.org/officeDocument/2006/relationships/ctrlProp" Target="../ctrlProps/ctrlProp142.xml"/><Relationship Id="rId8" Type="http://schemas.openxmlformats.org/officeDocument/2006/relationships/ctrlProp" Target="../ctrlProps/ctrlProp45.xml"/><Relationship Id="rId51" Type="http://schemas.openxmlformats.org/officeDocument/2006/relationships/ctrlProp" Target="../ctrlProps/ctrlProp88.xml"/><Relationship Id="rId72" Type="http://schemas.openxmlformats.org/officeDocument/2006/relationships/ctrlProp" Target="../ctrlProps/ctrlProp109.xml"/><Relationship Id="rId93" Type="http://schemas.openxmlformats.org/officeDocument/2006/relationships/ctrlProp" Target="../ctrlProps/ctrlProp130.xml"/><Relationship Id="rId98" Type="http://schemas.openxmlformats.org/officeDocument/2006/relationships/ctrlProp" Target="../ctrlProps/ctrlProp135.xml"/><Relationship Id="rId3" Type="http://schemas.openxmlformats.org/officeDocument/2006/relationships/vmlDrawing" Target="../drawings/vmlDrawing5.vml"/><Relationship Id="rId25" Type="http://schemas.openxmlformats.org/officeDocument/2006/relationships/ctrlProp" Target="../ctrlProps/ctrlProp62.xml"/><Relationship Id="rId46" Type="http://schemas.openxmlformats.org/officeDocument/2006/relationships/ctrlProp" Target="../ctrlProps/ctrlProp83.xml"/><Relationship Id="rId67" Type="http://schemas.openxmlformats.org/officeDocument/2006/relationships/ctrlProp" Target="../ctrlProps/ctrlProp10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ad">
    <tabColor rgb="FF9BBB59"/>
  </sheetPr>
  <dimension ref="A1:N13"/>
  <sheetViews>
    <sheetView showGridLines="0" zoomScaleNormal="100" workbookViewId="0">
      <selection activeCell="H11" sqref="H11"/>
    </sheetView>
  </sheetViews>
  <sheetFormatPr defaultColWidth="9.08984375" defaultRowHeight="14.5"/>
  <cols>
    <col min="1" max="1" width="3.26953125" style="4" customWidth="1"/>
    <col min="2" max="2" width="12.90625" style="4" customWidth="1"/>
    <col min="3" max="3" width="13" style="4" customWidth="1"/>
    <col min="4" max="4" width="12" style="4" customWidth="1"/>
    <col min="5" max="5" width="11" style="4" customWidth="1"/>
    <col min="6" max="6" width="13.7265625" style="4" customWidth="1"/>
    <col min="7" max="7" width="18" style="4" customWidth="1"/>
    <col min="8" max="9" width="17.7265625" style="4" customWidth="1"/>
    <col min="10" max="10" width="13.7265625" style="4" customWidth="1"/>
  </cols>
  <sheetData>
    <row r="1" spans="1:14" ht="31.5" customHeight="1">
      <c r="A1" s="352" t="s">
        <v>1615</v>
      </c>
      <c r="B1" s="352"/>
      <c r="C1" s="352"/>
      <c r="D1" s="352"/>
      <c r="E1" s="352"/>
      <c r="F1" s="352"/>
      <c r="G1" s="352"/>
      <c r="H1" s="352"/>
      <c r="I1" s="352"/>
      <c r="J1" s="352"/>
    </row>
    <row r="2" spans="1:14" ht="30" customHeight="1">
      <c r="A2" s="31"/>
      <c r="B2" s="342" t="s">
        <v>1443</v>
      </c>
      <c r="C2" s="342"/>
      <c r="D2" s="343" t="s">
        <v>1788</v>
      </c>
      <c r="E2" s="343"/>
      <c r="F2" s="24"/>
      <c r="G2" s="117" t="s">
        <v>553</v>
      </c>
      <c r="H2" s="343" t="s">
        <v>1793</v>
      </c>
      <c r="I2" s="343"/>
      <c r="J2" s="343"/>
    </row>
    <row r="3" spans="1:14" ht="30" customHeight="1">
      <c r="A3" s="31"/>
      <c r="B3" s="348" t="s">
        <v>1444</v>
      </c>
      <c r="C3" s="349"/>
      <c r="D3" s="343" t="s">
        <v>1781</v>
      </c>
      <c r="E3" s="343"/>
      <c r="F3" s="24"/>
      <c r="G3" s="117" t="s">
        <v>1700</v>
      </c>
      <c r="H3" s="343" t="s">
        <v>1794</v>
      </c>
      <c r="I3" s="343"/>
      <c r="J3" s="343"/>
      <c r="K3" s="272" t="s">
        <v>1614</v>
      </c>
      <c r="N3" s="273" t="s">
        <v>1640</v>
      </c>
    </row>
    <row r="4" spans="1:14" ht="30" customHeight="1">
      <c r="A4" s="31"/>
      <c r="B4" s="348" t="s">
        <v>1613</v>
      </c>
      <c r="C4" s="349"/>
      <c r="D4" s="343"/>
      <c r="E4" s="343"/>
      <c r="F4" s="24">
        <f>LEN(D4)-LEN(SUBSTITUTE(D4,"P",""))</f>
        <v>0</v>
      </c>
      <c r="G4" s="117" t="s">
        <v>1699</v>
      </c>
      <c r="H4" s="344" t="s">
        <v>1795</v>
      </c>
      <c r="I4" s="344"/>
      <c r="J4" s="344"/>
    </row>
    <row r="5" spans="1:14" ht="30" customHeight="1">
      <c r="A5" s="31"/>
      <c r="B5" s="348" t="s">
        <v>747</v>
      </c>
      <c r="C5" s="349"/>
      <c r="D5" s="274" t="s">
        <v>1792</v>
      </c>
      <c r="E5" s="274"/>
      <c r="F5" s="24" t="s">
        <v>1779</v>
      </c>
      <c r="G5" s="117" t="s">
        <v>1663</v>
      </c>
      <c r="H5" s="344" t="s">
        <v>1796</v>
      </c>
      <c r="I5" s="344"/>
      <c r="J5" s="344"/>
    </row>
    <row r="6" spans="1:14" ht="29.25" customHeight="1">
      <c r="A6" s="31"/>
      <c r="B6" s="342" t="s">
        <v>1633</v>
      </c>
      <c r="C6" s="342"/>
      <c r="D6" s="350">
        <v>3234.74</v>
      </c>
      <c r="E6" s="350"/>
      <c r="F6" s="24"/>
      <c r="G6" s="258" t="s">
        <v>1629</v>
      </c>
      <c r="H6" s="345" t="s">
        <v>1797</v>
      </c>
      <c r="I6" s="346"/>
      <c r="J6" s="24"/>
    </row>
    <row r="7" spans="1:14" ht="33" customHeight="1">
      <c r="A7" s="31"/>
      <c r="B7" s="342" t="s">
        <v>1627</v>
      </c>
      <c r="C7" s="342"/>
      <c r="D7" s="260">
        <v>20</v>
      </c>
      <c r="E7" s="260">
        <v>17</v>
      </c>
      <c r="F7" s="24"/>
      <c r="G7" s="258" t="s">
        <v>1630</v>
      </c>
      <c r="H7" s="267">
        <v>2012</v>
      </c>
      <c r="I7" s="266" t="s">
        <v>1763</v>
      </c>
      <c r="J7" s="24"/>
    </row>
    <row r="8" spans="1:14" ht="29.25" hidden="1" customHeight="1">
      <c r="A8" s="31"/>
      <c r="B8" s="117"/>
      <c r="C8" s="117"/>
      <c r="D8" s="145"/>
      <c r="E8" s="145"/>
      <c r="F8" s="24"/>
      <c r="G8" s="258"/>
      <c r="H8" s="261"/>
      <c r="I8" s="262"/>
      <c r="J8" s="24"/>
    </row>
    <row r="9" spans="1:14" ht="28.5" customHeight="1">
      <c r="A9" s="31"/>
      <c r="B9" s="351" t="s">
        <v>545</v>
      </c>
      <c r="C9" s="264" t="s">
        <v>72</v>
      </c>
      <c r="D9" s="264" t="s">
        <v>73</v>
      </c>
      <c r="E9" s="264" t="s">
        <v>1698</v>
      </c>
      <c r="G9" s="341" t="s">
        <v>1628</v>
      </c>
      <c r="H9" s="72" t="s">
        <v>1631</v>
      </c>
      <c r="I9" s="72" t="s">
        <v>1632</v>
      </c>
      <c r="J9" s="24"/>
    </row>
    <row r="10" spans="1:14" ht="30" customHeight="1">
      <c r="A10" s="31"/>
      <c r="B10" s="351"/>
      <c r="C10" s="263">
        <v>45811</v>
      </c>
      <c r="D10" s="263">
        <v>45811</v>
      </c>
      <c r="E10" s="277">
        <v>1</v>
      </c>
      <c r="G10" s="341"/>
      <c r="H10" s="270" t="s">
        <v>1798</v>
      </c>
      <c r="I10" s="259">
        <v>2500</v>
      </c>
      <c r="J10" s="55"/>
    </row>
    <row r="11" spans="1:14" ht="35.25" customHeight="1">
      <c r="B11" s="268"/>
      <c r="C11" s="268" t="s">
        <v>1837</v>
      </c>
      <c r="D11" s="268" t="s">
        <v>1838</v>
      </c>
      <c r="E11" s="268"/>
      <c r="F11" s="268"/>
      <c r="G11" s="268" t="s">
        <v>1751</v>
      </c>
      <c r="J11" s="276">
        <f>I11/21.75/8</f>
        <v>0</v>
      </c>
    </row>
    <row r="13" spans="1:14" ht="24" customHeight="1">
      <c r="B13" s="347"/>
      <c r="C13" s="347"/>
      <c r="D13" s="347"/>
      <c r="E13" s="347"/>
    </row>
  </sheetData>
  <sheetProtection selectLockedCells="1"/>
  <dataConsolidate link="1"/>
  <mergeCells count="19">
    <mergeCell ref="A1:J1"/>
    <mergeCell ref="B2:C2"/>
    <mergeCell ref="D2:E2"/>
    <mergeCell ref="B3:C3"/>
    <mergeCell ref="D3:E3"/>
    <mergeCell ref="B13:E13"/>
    <mergeCell ref="B4:C4"/>
    <mergeCell ref="B5:C5"/>
    <mergeCell ref="B6:C6"/>
    <mergeCell ref="D4:E4"/>
    <mergeCell ref="D6:E6"/>
    <mergeCell ref="B9:B10"/>
    <mergeCell ref="G9:G10"/>
    <mergeCell ref="B7:C7"/>
    <mergeCell ref="H2:J2"/>
    <mergeCell ref="H3:J3"/>
    <mergeCell ref="H4:J4"/>
    <mergeCell ref="H5:J5"/>
    <mergeCell ref="H6:I6"/>
  </mergeCells>
  <phoneticPr fontId="17" type="noConversion"/>
  <conditionalFormatting sqref="D2:E2">
    <cfRule type="containsBlanks" dxfId="110" priority="5" stopIfTrue="1">
      <formula>LEN(TRIM(D2))=0</formula>
    </cfRule>
  </conditionalFormatting>
  <conditionalFormatting sqref="D5:E5">
    <cfRule type="containsBlanks" dxfId="109" priority="4">
      <formula>LEN(TRIM(D5))=0</formula>
    </cfRule>
  </conditionalFormatting>
  <conditionalFormatting sqref="D7:E7">
    <cfRule type="containsBlanks" dxfId="108" priority="3">
      <formula>LEN(TRIM(D7))=0</formula>
    </cfRule>
  </conditionalFormatting>
  <conditionalFormatting sqref="C10:D10">
    <cfRule type="containsBlanks" dxfId="107" priority="2">
      <formula>LEN(TRIM(C10))=0</formula>
    </cfRule>
  </conditionalFormatting>
  <conditionalFormatting sqref="D4:E4">
    <cfRule type="expression" dxfId="106" priority="1">
      <formula>AND(D3="Follow up Audit", D4="")</formula>
    </cfRule>
  </conditionalFormatting>
  <dataValidations count="5">
    <dataValidation type="list" allowBlank="1" showInputMessage="1" showErrorMessage="1" sqref="D3:E3" xr:uid="{ADED4514-5DFE-464F-8CC4-0D1EC51295E2}">
      <formula1>"Full Audit, Follow up Audit"</formula1>
    </dataValidation>
    <dataValidation allowBlank="1" showInputMessage="1" showErrorMessage="1" prompt="城市" sqref="E5" xr:uid="{1CCC25D5-3B46-4807-9C75-CE8E465810C7}"/>
    <dataValidation allowBlank="1" showInputMessage="1" showErrorMessage="1" prompt="City" sqref="D5" xr:uid="{D342C549-FC90-4CDD-9AE6-260BE275EBFD}"/>
    <dataValidation allowBlank="1" showInputMessage="1" showErrorMessage="1" prompt="省" sqref="F5" xr:uid="{47A0FC39-BC2C-4D57-8944-F8B94F8BC31D}"/>
    <dataValidation type="list" allowBlank="1" showInputMessage="1" showErrorMessage="1" sqref="I7" xr:uid="{38ECDD9E-A99B-4F39-801D-11C1B4F9391B}">
      <formula1>"limited company, individually-owned business"</formula1>
    </dataValidation>
  </dataValidations>
  <hyperlinks>
    <hyperlink ref="K3" r:id="rId1" xr:uid="{024ECF7E-CEB8-48B8-9365-74EBF5596DD1}"/>
    <hyperlink ref="G11" r:id="rId2" xr:uid="{B251D33C-9E78-4ACE-A217-5A4ED37E83BC}"/>
    <hyperlink ref="G9:G10" r:id="rId3" display="Minimum Wage:" xr:uid="{AC03A966-1AD8-49A3-A4CF-5A90DC3FC740}"/>
  </hyperlinks>
  <pageMargins left="0.7" right="0.7" top="0.75" bottom="0.75" header="0.3" footer="0.3"/>
  <pageSetup paperSize="9" orientation="portrait" verticalDpi="1200" r:id="rId4"/>
  <drawing r:id="rId5"/>
  <legacyDrawing r:id="rId6"/>
  <mc:AlternateContent xmlns:mc="http://schemas.openxmlformats.org/markup-compatibility/2006">
    <mc:Choice Requires="x14">
      <controls>
        <mc:AlternateContent xmlns:mc="http://schemas.openxmlformats.org/markup-compatibility/2006">
          <mc:Choice Requires="x14">
            <control shapeId="405545" r:id="rId7" name="Button 41">
              <controlPr defaultSize="0" print="0" autoFill="0" autoPict="0" macro="[0]!AuditPlan">
                <anchor moveWithCells="1" sizeWithCells="1">
                  <from>
                    <xdr:col>5</xdr:col>
                    <xdr:colOff>0</xdr:colOff>
                    <xdr:row>1</xdr:row>
                    <xdr:rowOff>0</xdr:rowOff>
                  </from>
                  <to>
                    <xdr:col>5</xdr:col>
                    <xdr:colOff>895350</xdr:colOff>
                    <xdr:row>4</xdr:row>
                    <xdr:rowOff>0</xdr:rowOff>
                  </to>
                </anchor>
              </controlPr>
            </control>
          </mc:Choice>
        </mc:AlternateContent>
        <mc:AlternateContent xmlns:mc="http://schemas.openxmlformats.org/markup-compatibility/2006">
          <mc:Choice Requires="x14">
            <control shapeId="405546" r:id="rId8" name="Button 42">
              <controlPr defaultSize="0" print="0" autoFill="0" autoPict="0" macro="[0]!preAuditDos">
                <anchor moveWithCells="1" sizeWithCells="1">
                  <from>
                    <xdr:col>9</xdr:col>
                    <xdr:colOff>19050</xdr:colOff>
                    <xdr:row>5</xdr:row>
                    <xdr:rowOff>19050</xdr:rowOff>
                  </from>
                  <to>
                    <xdr:col>9</xdr:col>
                    <xdr:colOff>908050</xdr:colOff>
                    <xdr:row>9</xdr:row>
                    <xdr:rowOff>361950</xdr:rowOff>
                  </to>
                </anchor>
              </controlPr>
            </control>
          </mc:Choice>
        </mc:AlternateContent>
        <mc:AlternateContent xmlns:mc="http://schemas.openxmlformats.org/markup-compatibility/2006">
          <mc:Choice Requires="x14">
            <control shapeId="405547" r:id="rId9" name="Button 43">
              <controlPr defaultSize="0" print="0" autoFill="0" autoPict="0" macro="[0]!AuditPlan">
                <anchor moveWithCells="1" sizeWithCells="1">
                  <from>
                    <xdr:col>5</xdr:col>
                    <xdr:colOff>0</xdr:colOff>
                    <xdr:row>1</xdr:row>
                    <xdr:rowOff>0</xdr:rowOff>
                  </from>
                  <to>
                    <xdr:col>5</xdr:col>
                    <xdr:colOff>895350</xdr:colOff>
                    <xdr:row>4</xdr:row>
                    <xdr:rowOff>0</xdr:rowOff>
                  </to>
                </anchor>
              </controlPr>
            </control>
          </mc:Choice>
        </mc:AlternateContent>
        <mc:AlternateContent xmlns:mc="http://schemas.openxmlformats.org/markup-compatibility/2006">
          <mc:Choice Requires="x14">
            <control shapeId="405548" r:id="rId10" name="Button 44">
              <controlPr defaultSize="0" print="0" autoFill="0" autoPict="0" macro="[0]!preAuditDos">
                <anchor moveWithCells="1" sizeWithCells="1">
                  <from>
                    <xdr:col>9</xdr:col>
                    <xdr:colOff>19050</xdr:colOff>
                    <xdr:row>5</xdr:row>
                    <xdr:rowOff>19050</xdr:rowOff>
                  </from>
                  <to>
                    <xdr:col>9</xdr:col>
                    <xdr:colOff>908050</xdr:colOff>
                    <xdr:row>9</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dbi">
    <tabColor theme="6"/>
    <pageSetUpPr fitToPage="1"/>
  </sheetPr>
  <dimension ref="A1:N27"/>
  <sheetViews>
    <sheetView showGridLines="0" zoomScaleNormal="100" workbookViewId="0">
      <selection activeCell="C14" sqref="C14:E15"/>
    </sheetView>
  </sheetViews>
  <sheetFormatPr defaultColWidth="9.08984375" defaultRowHeight="14.5"/>
  <cols>
    <col min="1" max="1" width="4.08984375" style="4" customWidth="1"/>
    <col min="2" max="2" width="26.7265625" style="4" customWidth="1"/>
    <col min="3" max="3" width="12.08984375" style="12" customWidth="1"/>
    <col min="4" max="4" width="15.7265625" style="12" customWidth="1"/>
    <col min="5" max="5" width="20.7265625" style="12" customWidth="1"/>
    <col min="6" max="6" width="3.26953125" style="12" customWidth="1"/>
    <col min="7" max="7" width="23.36328125" style="12" customWidth="1"/>
    <col min="8" max="8" width="13.7265625" style="12" customWidth="1"/>
    <col min="9" max="10" width="14.7265625" style="12" customWidth="1"/>
    <col min="11" max="11" width="19.36328125" style="12" customWidth="1"/>
    <col min="12" max="12" width="18.90625" style="12" customWidth="1"/>
    <col min="13" max="13" width="24.90625" style="12" customWidth="1"/>
    <col min="14" max="14" width="4.7265625" style="1" customWidth="1"/>
  </cols>
  <sheetData>
    <row r="1" spans="1:14" ht="21" customHeight="1">
      <c r="A1" s="358" t="s">
        <v>49</v>
      </c>
      <c r="B1" s="358"/>
      <c r="C1" s="358"/>
      <c r="D1" s="358"/>
      <c r="E1" s="358"/>
      <c r="F1" s="358"/>
      <c r="G1" s="358"/>
      <c r="H1" s="358"/>
      <c r="I1" s="358"/>
      <c r="J1" s="358"/>
      <c r="K1" s="358"/>
      <c r="L1" s="358"/>
      <c r="M1" s="358"/>
      <c r="N1" s="358"/>
    </row>
    <row r="2" spans="1:14" ht="15" hidden="1" customHeight="1">
      <c r="A2" s="100"/>
      <c r="B2" s="100"/>
      <c r="C2" s="100"/>
      <c r="D2" s="100"/>
      <c r="E2" s="100"/>
      <c r="F2" s="100"/>
      <c r="G2" s="100"/>
      <c r="H2" s="100"/>
      <c r="I2" s="100"/>
      <c r="J2" s="100"/>
      <c r="K2" s="100"/>
      <c r="L2" s="100"/>
      <c r="M2" s="100"/>
      <c r="N2" s="100"/>
    </row>
    <row r="3" spans="1:14" ht="34.5" hidden="1" customHeight="1">
      <c r="A3" s="100"/>
      <c r="B3" s="359" t="s">
        <v>709</v>
      </c>
      <c r="C3" s="359"/>
      <c r="D3" s="360" t="s">
        <v>985</v>
      </c>
      <c r="E3" s="360"/>
      <c r="F3" s="360"/>
      <c r="G3" s="100"/>
      <c r="H3" s="100"/>
      <c r="I3" s="100"/>
      <c r="J3" s="100"/>
      <c r="K3" s="100"/>
      <c r="L3" s="100"/>
      <c r="M3" s="100"/>
      <c r="N3" s="100"/>
    </row>
    <row r="4" spans="1:14" ht="56.25" hidden="1" customHeight="1">
      <c r="A4" s="100"/>
      <c r="B4" s="361" t="s">
        <v>703</v>
      </c>
      <c r="C4" s="362"/>
      <c r="D4" s="363" t="s">
        <v>986</v>
      </c>
      <c r="E4" s="364"/>
      <c r="F4" s="365"/>
      <c r="G4" s="100"/>
      <c r="H4" s="100"/>
      <c r="I4" s="100"/>
      <c r="J4" s="100"/>
      <c r="K4" s="100"/>
      <c r="L4" s="100"/>
      <c r="M4" s="100"/>
      <c r="N4" s="100"/>
    </row>
    <row r="5" spans="1:14" ht="15" hidden="1" customHeight="1">
      <c r="A5" s="100"/>
      <c r="B5" s="108"/>
      <c r="C5" s="108"/>
      <c r="D5" s="109"/>
      <c r="E5" s="109"/>
      <c r="F5" s="100"/>
      <c r="G5" s="100"/>
      <c r="H5" s="100"/>
      <c r="I5" s="100"/>
      <c r="J5" s="100"/>
      <c r="K5" s="100"/>
      <c r="L5" s="100"/>
      <c r="M5" s="100"/>
      <c r="N5" s="100"/>
    </row>
    <row r="6" spans="1:14" ht="24.75" hidden="1" customHeight="1">
      <c r="A6" s="366" t="s">
        <v>717</v>
      </c>
      <c r="B6" s="366"/>
      <c r="C6" s="366"/>
      <c r="D6" s="366"/>
      <c r="E6" s="366"/>
      <c r="F6" s="366"/>
      <c r="G6" s="366"/>
      <c r="H6" s="366"/>
      <c r="I6" s="366"/>
      <c r="J6" s="366"/>
      <c r="K6" s="366"/>
      <c r="L6" s="366"/>
      <c r="M6" s="366"/>
      <c r="N6" s="366"/>
    </row>
    <row r="7" spans="1:14" ht="19.5" hidden="1" customHeight="1">
      <c r="A7" s="369"/>
      <c r="B7" s="369"/>
      <c r="C7" s="369"/>
      <c r="D7" s="369"/>
      <c r="E7" s="369"/>
      <c r="F7" s="369"/>
      <c r="G7" s="369"/>
      <c r="H7" s="369"/>
      <c r="I7" s="369"/>
      <c r="J7" s="369"/>
      <c r="K7" s="369"/>
      <c r="L7" s="369"/>
      <c r="M7" s="369"/>
      <c r="N7" s="369"/>
    </row>
    <row r="8" spans="1:14" ht="30" hidden="1" customHeight="1">
      <c r="A8" s="74"/>
      <c r="B8" s="117" t="s">
        <v>875</v>
      </c>
      <c r="C8" s="370"/>
      <c r="D8" s="367"/>
      <c r="E8" s="368"/>
      <c r="F8" s="113"/>
      <c r="G8" s="245"/>
      <c r="H8" s="371"/>
      <c r="I8" s="371"/>
      <c r="J8" s="73"/>
      <c r="K8" s="73"/>
      <c r="L8" s="7"/>
      <c r="M8" s="7"/>
      <c r="N8" s="73"/>
    </row>
    <row r="9" spans="1:14" ht="30" hidden="1" customHeight="1">
      <c r="A9" s="74"/>
      <c r="B9" s="117" t="s">
        <v>874</v>
      </c>
      <c r="C9" s="370"/>
      <c r="D9" s="367"/>
      <c r="E9" s="368"/>
      <c r="F9" s="243"/>
      <c r="G9" s="157" t="s">
        <v>554</v>
      </c>
      <c r="H9" s="367"/>
      <c r="I9" s="368"/>
      <c r="J9" s="7"/>
      <c r="K9" s="7"/>
      <c r="L9" s="7"/>
      <c r="M9" s="7"/>
      <c r="N9" s="73"/>
    </row>
    <row r="10" spans="1:14" ht="30" hidden="1" customHeight="1">
      <c r="A10" s="74"/>
      <c r="B10" s="157" t="s">
        <v>50</v>
      </c>
      <c r="C10" s="382" t="s">
        <v>893</v>
      </c>
      <c r="D10" s="383"/>
      <c r="E10" s="384"/>
      <c r="F10" s="243"/>
      <c r="G10" s="117" t="s">
        <v>555</v>
      </c>
      <c r="H10" s="367"/>
      <c r="I10" s="368"/>
      <c r="J10" s="7"/>
      <c r="K10" s="7"/>
      <c r="L10" s="7"/>
      <c r="M10" s="7"/>
      <c r="N10" s="73"/>
    </row>
    <row r="11" spans="1:14" ht="30" hidden="1" customHeight="1">
      <c r="A11" s="74"/>
      <c r="B11" s="117" t="s">
        <v>51</v>
      </c>
      <c r="C11" s="382" t="s">
        <v>323</v>
      </c>
      <c r="D11" s="383"/>
      <c r="E11" s="384"/>
      <c r="F11" s="243"/>
      <c r="G11" s="117" t="s">
        <v>556</v>
      </c>
      <c r="H11" s="367"/>
      <c r="I11" s="368"/>
      <c r="J11" s="7"/>
      <c r="K11" s="7"/>
      <c r="L11" s="7"/>
      <c r="M11" s="7"/>
      <c r="N11" s="73"/>
    </row>
    <row r="12" spans="1:14" ht="30" hidden="1" customHeight="1">
      <c r="A12" s="73"/>
      <c r="B12" s="157" t="s">
        <v>107</v>
      </c>
      <c r="C12" s="373" t="str">
        <f>"E"&amp;SUBSTITUTE(F12,",",", N")</f>
        <v>E</v>
      </c>
      <c r="D12" s="374"/>
      <c r="E12" s="375"/>
      <c r="F12" s="250"/>
      <c r="G12" s="113"/>
      <c r="H12" s="372"/>
      <c r="I12" s="372"/>
      <c r="J12" s="73"/>
      <c r="K12" s="73"/>
      <c r="L12" s="73"/>
      <c r="M12" s="73"/>
      <c r="N12" s="73"/>
    </row>
    <row r="13" spans="1:14" ht="32.25" customHeight="1">
      <c r="A13" s="73"/>
      <c r="B13" s="258" t="s">
        <v>52</v>
      </c>
      <c r="C13" s="355" t="s">
        <v>1839</v>
      </c>
      <c r="D13" s="356"/>
      <c r="E13" s="357"/>
      <c r="F13" s="250"/>
      <c r="G13" s="117" t="s">
        <v>1623</v>
      </c>
      <c r="H13" s="376"/>
      <c r="I13" s="377"/>
      <c r="J13" s="378"/>
      <c r="K13" s="353"/>
      <c r="L13" s="354"/>
      <c r="M13" s="354"/>
      <c r="N13" s="73"/>
    </row>
    <row r="14" spans="1:14" ht="30" customHeight="1">
      <c r="B14" s="385" t="s">
        <v>1616</v>
      </c>
      <c r="C14" s="387"/>
      <c r="D14" s="388"/>
      <c r="E14" s="389"/>
      <c r="F14" s="249"/>
      <c r="G14" s="393" t="s">
        <v>1620</v>
      </c>
      <c r="H14" s="387"/>
      <c r="I14" s="388"/>
      <c r="J14" s="389"/>
      <c r="K14" s="11"/>
      <c r="L14" s="11"/>
      <c r="M14" s="11"/>
    </row>
    <row r="15" spans="1:14" ht="27.75" customHeight="1">
      <c r="B15" s="386"/>
      <c r="C15" s="390"/>
      <c r="D15" s="391"/>
      <c r="E15" s="392"/>
      <c r="F15" s="249"/>
      <c r="G15" s="394"/>
      <c r="H15" s="390"/>
      <c r="I15" s="391"/>
      <c r="J15" s="392"/>
      <c r="K15" s="11"/>
      <c r="L15" s="11"/>
      <c r="M15" s="11"/>
    </row>
    <row r="16" spans="1:14" ht="28.5" customHeight="1">
      <c r="A16" s="265" t="b">
        <v>0</v>
      </c>
      <c r="B16" s="167" t="s">
        <v>152</v>
      </c>
      <c r="C16" s="387"/>
      <c r="D16" s="388"/>
      <c r="E16" s="389"/>
      <c r="F16" s="249"/>
      <c r="G16" s="117" t="s">
        <v>1621</v>
      </c>
      <c r="H16" s="387"/>
      <c r="I16" s="388"/>
      <c r="J16" s="389"/>
      <c r="K16" s="11"/>
      <c r="L16" s="11"/>
      <c r="M16" s="11"/>
    </row>
    <row r="17" spans="2:10" ht="27.75" customHeight="1">
      <c r="B17" s="167"/>
      <c r="C17" s="390"/>
      <c r="D17" s="391"/>
      <c r="E17" s="392"/>
      <c r="F17" s="249"/>
      <c r="G17" s="117" t="s">
        <v>1622</v>
      </c>
      <c r="H17" s="387"/>
      <c r="I17" s="388"/>
      <c r="J17" s="389"/>
    </row>
    <row r="18" spans="2:10" ht="25.5" customHeight="1">
      <c r="B18" s="167" t="s">
        <v>1617</v>
      </c>
      <c r="C18" s="344"/>
      <c r="D18" s="344"/>
      <c r="E18" s="344"/>
      <c r="F18" s="249"/>
      <c r="G18" s="117"/>
      <c r="H18" s="395"/>
      <c r="I18" s="396"/>
      <c r="J18" s="397"/>
    </row>
    <row r="19" spans="2:10" ht="30" hidden="1" customHeight="1">
      <c r="B19" s="167" t="s">
        <v>1618</v>
      </c>
      <c r="C19" s="344"/>
      <c r="D19" s="344"/>
      <c r="E19" s="344"/>
      <c r="G19" s="24"/>
      <c r="H19" s="28"/>
      <c r="I19" s="28"/>
      <c r="J19" s="11"/>
    </row>
    <row r="20" spans="2:10" ht="28.5" customHeight="1">
      <c r="B20" s="167" t="s">
        <v>1619</v>
      </c>
      <c r="C20" s="355">
        <v>300000</v>
      </c>
      <c r="D20" s="356"/>
      <c r="E20" s="357"/>
      <c r="G20" s="24"/>
      <c r="H20" s="28"/>
      <c r="I20" s="28"/>
      <c r="J20" s="11"/>
    </row>
    <row r="21" spans="2:10" ht="28.5" hidden="1" customHeight="1">
      <c r="B21" s="167" t="s">
        <v>557</v>
      </c>
      <c r="C21" s="344"/>
      <c r="D21" s="344"/>
      <c r="E21" s="344"/>
      <c r="G21" s="24"/>
      <c r="H21" s="28"/>
      <c r="I21" s="28"/>
      <c r="J21" s="11"/>
    </row>
    <row r="22" spans="2:10" ht="9.75" customHeight="1"/>
    <row r="23" spans="2:10">
      <c r="B23" s="379" t="s">
        <v>876</v>
      </c>
      <c r="C23" s="380"/>
      <c r="D23" s="380"/>
      <c r="E23" s="158"/>
      <c r="F23" s="158"/>
      <c r="G23" s="158"/>
      <c r="H23"/>
      <c r="I23"/>
      <c r="J23" s="73"/>
    </row>
    <row r="24" spans="2:10" ht="9.75" hidden="1" customHeight="1"/>
    <row r="25" spans="2:10" ht="27" customHeight="1">
      <c r="B25" s="117" t="s">
        <v>1626</v>
      </c>
      <c r="C25" s="355" t="s">
        <v>1790</v>
      </c>
      <c r="D25" s="356"/>
      <c r="E25" s="357"/>
      <c r="G25" s="117" t="s">
        <v>1625</v>
      </c>
      <c r="H25" s="355" t="str">
        <f>C25</f>
        <v>Mr. Zhou Weiwu/Production Manager</v>
      </c>
      <c r="I25" s="356"/>
      <c r="J25" s="357"/>
    </row>
    <row r="26" spans="2:10" ht="27" customHeight="1">
      <c r="B26" s="117" t="s">
        <v>1624</v>
      </c>
      <c r="C26" s="381" t="s">
        <v>1791</v>
      </c>
      <c r="D26" s="356"/>
      <c r="E26" s="357"/>
      <c r="G26" s="117" t="s">
        <v>1634</v>
      </c>
      <c r="H26" s="355" t="s">
        <v>1789</v>
      </c>
      <c r="I26" s="356"/>
      <c r="J26" s="357"/>
    </row>
    <row r="27" spans="2:10" ht="27" customHeight="1">
      <c r="B27" s="117" t="s">
        <v>1778</v>
      </c>
      <c r="C27" s="355">
        <v>15975382984</v>
      </c>
      <c r="D27" s="356"/>
      <c r="E27" s="357"/>
    </row>
  </sheetData>
  <sheetProtection selectLockedCells="1"/>
  <mergeCells count="38">
    <mergeCell ref="H14:J15"/>
    <mergeCell ref="H16:J16"/>
    <mergeCell ref="H17:J17"/>
    <mergeCell ref="H18:J18"/>
    <mergeCell ref="C19:E19"/>
    <mergeCell ref="C18:E18"/>
    <mergeCell ref="C27:E27"/>
    <mergeCell ref="B23:D23"/>
    <mergeCell ref="C25:E25"/>
    <mergeCell ref="C26:E26"/>
    <mergeCell ref="H9:I9"/>
    <mergeCell ref="C10:E10"/>
    <mergeCell ref="H10:I10"/>
    <mergeCell ref="C11:E11"/>
    <mergeCell ref="B14:B15"/>
    <mergeCell ref="C14:E15"/>
    <mergeCell ref="H26:J26"/>
    <mergeCell ref="H25:J25"/>
    <mergeCell ref="C16:E17"/>
    <mergeCell ref="C20:E20"/>
    <mergeCell ref="C21:E21"/>
    <mergeCell ref="G14:G15"/>
    <mergeCell ref="K13:M13"/>
    <mergeCell ref="C13:E13"/>
    <mergeCell ref="A1:N1"/>
    <mergeCell ref="B3:C3"/>
    <mergeCell ref="D3:F3"/>
    <mergeCell ref="B4:C4"/>
    <mergeCell ref="D4:F4"/>
    <mergeCell ref="A6:N6"/>
    <mergeCell ref="H11:I11"/>
    <mergeCell ref="A7:N7"/>
    <mergeCell ref="C8:E8"/>
    <mergeCell ref="H8:I8"/>
    <mergeCell ref="C9:E9"/>
    <mergeCell ref="H12:I12"/>
    <mergeCell ref="C12:E12"/>
    <mergeCell ref="H13:J13"/>
  </mergeCells>
  <phoneticPr fontId="17" type="noConversion"/>
  <conditionalFormatting sqref="C25:C27">
    <cfRule type="containsBlanks" dxfId="105" priority="6" stopIfTrue="1">
      <formula>LEN(TRIM(C25))=0</formula>
    </cfRule>
  </conditionalFormatting>
  <conditionalFormatting sqref="H26">
    <cfRule type="containsBlanks" dxfId="104" priority="4" stopIfTrue="1">
      <formula>LEN(TRIM(H26))=0</formula>
    </cfRule>
  </conditionalFormatting>
  <conditionalFormatting sqref="H25">
    <cfRule type="containsBlanks" dxfId="103" priority="3" stopIfTrue="1">
      <formula>LEN(TRIM(H25))=0</formula>
    </cfRule>
  </conditionalFormatting>
  <conditionalFormatting sqref="C13">
    <cfRule type="containsBlanks" dxfId="102" priority="2" stopIfTrue="1">
      <formula>LEN(TRIM(C13))=0</formula>
    </cfRule>
  </conditionalFormatting>
  <conditionalFormatting sqref="C20">
    <cfRule type="containsBlanks" dxfId="101" priority="1" stopIfTrue="1">
      <formula>LEN(TRIM(C20))=0</formula>
    </cfRule>
  </conditionalFormatting>
  <dataValidations count="5">
    <dataValidation type="list" allowBlank="1" showInputMessage="1" showErrorMessage="1" prompt="Please select_x000a_" sqref="C11:E11" xr:uid="{00000000-0002-0000-0600-000006000000}">
      <formula1>Countries</formula1>
    </dataValidation>
    <dataValidation type="list" allowBlank="1" showInputMessage="1" showErrorMessage="1" prompt="Please select" sqref="D3" xr:uid="{00000000-0002-0000-0600-000008000000}">
      <formula1>Information</formula1>
    </dataValidation>
    <dataValidation type="custom" allowBlank="1" showInputMessage="1" showErrorMessage="1" error="enter text only, no special characters" prompt="enter text only, no special characters" sqref="C27:E27 H25:J25 C25" xr:uid="{00000000-0002-0000-0600-00000B000000}">
      <formula1>SUMPRODUCT(--(ISNUMBER(FIND(MID(C25,ROW(INDIRECT("1:" &amp; LEN(C25))),1),"!#$&amp;@"))))=0</formula1>
    </dataValidation>
    <dataValidation type="custom" allowBlank="1" showInputMessage="1" showErrorMessage="1" error="enter a valid email address" prompt="enter a valid email address" sqref="C26:E26" xr:uid="{00000000-0002-0000-0600-00000D000000}">
      <formula1>COUNTIF(C26,"?*@?*.??*")&gt;0</formula1>
    </dataValidation>
    <dataValidation allowBlank="1" showInputMessage="1" showErrorMessage="1" prompt="pcs or unit" sqref="C20:E20" xr:uid="{E921A4EF-8214-4115-915B-600180BF16DE}"/>
  </dataValidations>
  <hyperlinks>
    <hyperlink ref="C26" r:id="rId1" xr:uid="{FBE96AEC-EB2A-4884-9821-0CE329C343B4}"/>
  </hyperlinks>
  <pageMargins left="0.25" right="0.25" top="0.75" bottom="0.75" header="0.3" footer="0.3"/>
  <pageSetup paperSize="8" scale="41"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342038" r:id="rId5" name="Button 22">
              <controlPr defaultSize="0" print="0" autoFill="0" autoPict="0" macro="[0]!ConfirmationLetter">
                <anchor moveWithCells="1" sizeWithCells="1">
                  <from>
                    <xdr:col>6</xdr:col>
                    <xdr:colOff>12700</xdr:colOff>
                    <xdr:row>16</xdr:row>
                    <xdr:rowOff>76200</xdr:rowOff>
                  </from>
                  <to>
                    <xdr:col>7</xdr:col>
                    <xdr:colOff>857250</xdr:colOff>
                    <xdr:row>20</xdr:row>
                    <xdr:rowOff>0</xdr:rowOff>
                  </to>
                </anchor>
              </controlPr>
            </control>
          </mc:Choice>
        </mc:AlternateContent>
        <mc:AlternateContent xmlns:mc="http://schemas.openxmlformats.org/markup-compatibility/2006">
          <mc:Choice Requires="x14">
            <control shapeId="342040" r:id="rId6" name="Check Box 24">
              <controlPr defaultSize="0" autoFill="0" autoLine="0" autoPict="0">
                <anchor moveWithCells="1">
                  <from>
                    <xdr:col>1</xdr:col>
                    <xdr:colOff>933450</xdr:colOff>
                    <xdr:row>15</xdr:row>
                    <xdr:rowOff>31750</xdr:rowOff>
                  </from>
                  <to>
                    <xdr:col>2</xdr:col>
                    <xdr:colOff>0</xdr:colOff>
                    <xdr:row>15</xdr:row>
                    <xdr:rowOff>355600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dba">
    <tabColor theme="6"/>
    <pageSetUpPr fitToPage="1"/>
  </sheetPr>
  <dimension ref="A1:P33"/>
  <sheetViews>
    <sheetView showGridLines="0" topLeftCell="A11" zoomScale="90" zoomScaleNormal="90" workbookViewId="0">
      <selection activeCell="E18" sqref="E18:H18"/>
    </sheetView>
  </sheetViews>
  <sheetFormatPr defaultColWidth="9.08984375" defaultRowHeight="14.5"/>
  <cols>
    <col min="1" max="1" width="4.08984375" style="4" customWidth="1"/>
    <col min="2" max="2" width="20.7265625" style="4" customWidth="1"/>
    <col min="3" max="3" width="20.7265625" style="12" customWidth="1"/>
    <col min="4" max="4" width="12.08984375" style="12" customWidth="1"/>
    <col min="5" max="5" width="15.7265625" style="12" customWidth="1"/>
    <col min="6" max="6" width="20.7265625" style="12" customWidth="1"/>
    <col min="7" max="7" width="11.36328125" style="12" customWidth="1"/>
    <col min="8" max="8" width="40.7265625" style="12" customWidth="1"/>
    <col min="9" max="10" width="13.7265625" style="12" customWidth="1"/>
    <col min="11" max="12" width="14.7265625" style="12" customWidth="1"/>
    <col min="13" max="13" width="19.36328125" style="12" customWidth="1"/>
    <col min="14" max="14" width="18.90625" style="12" customWidth="1"/>
    <col min="15" max="15" width="26.36328125" style="12" customWidth="1"/>
    <col min="16" max="16" width="4.7265625" style="1" customWidth="1"/>
  </cols>
  <sheetData>
    <row r="1" spans="1:16" ht="23.25" customHeight="1">
      <c r="A1" s="366" t="s">
        <v>883</v>
      </c>
      <c r="B1" s="366"/>
      <c r="C1" s="366"/>
      <c r="D1" s="366"/>
      <c r="E1" s="366"/>
      <c r="F1" s="366"/>
      <c r="G1" s="366"/>
      <c r="H1" s="366"/>
      <c r="I1" s="366"/>
      <c r="J1" s="366"/>
      <c r="K1" s="366"/>
      <c r="L1" s="366"/>
      <c r="M1" s="366"/>
      <c r="N1" s="366"/>
      <c r="O1" s="366"/>
      <c r="P1" s="366"/>
    </row>
    <row r="2" spans="1:16" ht="15" customHeight="1">
      <c r="A2" s="369"/>
      <c r="B2" s="369"/>
      <c r="C2" s="369"/>
      <c r="D2" s="369"/>
      <c r="E2" s="369"/>
      <c r="F2" s="369"/>
      <c r="G2" s="369"/>
      <c r="H2" s="369"/>
      <c r="I2" s="369"/>
      <c r="J2" s="369"/>
      <c r="K2" s="369"/>
      <c r="L2" s="369"/>
      <c r="M2" s="369"/>
      <c r="N2" s="369"/>
      <c r="O2" s="369"/>
      <c r="P2" s="369"/>
    </row>
    <row r="3" spans="1:16" ht="33.75" customHeight="1">
      <c r="A3" s="31"/>
      <c r="B3" s="342" t="s">
        <v>865</v>
      </c>
      <c r="C3" s="342"/>
      <c r="D3" s="278">
        <f>'Pre Audit Dos'!I10</f>
        <v>2500</v>
      </c>
      <c r="E3" s="225" t="s">
        <v>858</v>
      </c>
      <c r="F3" s="199" t="s">
        <v>616</v>
      </c>
      <c r="G3" s="113"/>
      <c r="H3" s="117" t="s">
        <v>867</v>
      </c>
      <c r="I3" s="199" t="str">
        <f>'Pre Audit Dos'!H3</f>
        <v>NO.1, Hengling 6 Road, Qianjin Village, Shiling Town, Huadu District, Guangzhou City, Guangdong, China</v>
      </c>
      <c r="J3" s="225" t="s">
        <v>858</v>
      </c>
      <c r="K3" s="199" t="s">
        <v>616</v>
      </c>
      <c r="L3" s="23"/>
      <c r="M3" s="23"/>
      <c r="N3" s="23"/>
      <c r="O3" s="23"/>
      <c r="P3" s="20"/>
    </row>
    <row r="4" spans="1:16" ht="33.75" customHeight="1">
      <c r="A4" s="31"/>
      <c r="B4" s="348" t="s">
        <v>866</v>
      </c>
      <c r="C4" s="398"/>
      <c r="D4" s="198"/>
      <c r="E4" s="225" t="s">
        <v>858</v>
      </c>
      <c r="F4" s="199" t="s">
        <v>616</v>
      </c>
      <c r="G4" s="113"/>
      <c r="H4" s="117" t="s">
        <v>868</v>
      </c>
      <c r="I4" s="198"/>
      <c r="J4" s="225" t="s">
        <v>858</v>
      </c>
      <c r="K4" s="199" t="s">
        <v>616</v>
      </c>
      <c r="L4" s="23"/>
      <c r="M4" s="23"/>
      <c r="N4" s="23"/>
      <c r="O4" s="23"/>
      <c r="P4" s="20"/>
    </row>
    <row r="5" spans="1:16" ht="38.25" customHeight="1">
      <c r="A5" s="31"/>
      <c r="B5" s="342" t="s">
        <v>546</v>
      </c>
      <c r="C5" s="342"/>
      <c r="D5" s="399" t="s">
        <v>93</v>
      </c>
      <c r="E5" s="400"/>
      <c r="F5" s="401"/>
      <c r="G5" s="113"/>
      <c r="H5" s="117" t="s">
        <v>548</v>
      </c>
      <c r="I5" s="402" t="str">
        <f>"Social insurance including pension, unemployment, medical, maternity  and injury insurance, equal to RMB"&amp;L5&amp;" per worker per month"</f>
        <v>Social insurance including pension, unemployment, medical, maternity  and injury insurance, equal to RMB0 per worker per month</v>
      </c>
      <c r="J5" s="402"/>
      <c r="K5" s="402"/>
      <c r="L5" s="199">
        <f>uniform!L38</f>
        <v>0</v>
      </c>
      <c r="M5" s="7"/>
      <c r="N5" s="7"/>
      <c r="O5" s="7"/>
      <c r="P5" s="20"/>
    </row>
    <row r="6" spans="1:16" ht="36" customHeight="1">
      <c r="A6" s="31"/>
      <c r="B6" s="342" t="s">
        <v>547</v>
      </c>
      <c r="C6" s="342"/>
      <c r="D6" s="399" t="s">
        <v>93</v>
      </c>
      <c r="E6" s="400"/>
      <c r="F6" s="401"/>
      <c r="G6" s="113"/>
      <c r="H6" s="117" t="s">
        <v>549</v>
      </c>
      <c r="I6" s="402">
        <f>SUM(D3,L5)</f>
        <v>2500</v>
      </c>
      <c r="J6" s="402"/>
      <c r="K6" s="402"/>
      <c r="L6" s="7"/>
      <c r="M6" s="7"/>
      <c r="N6" s="7"/>
      <c r="O6" s="7"/>
      <c r="P6" s="20"/>
    </row>
    <row r="7" spans="1:16" ht="29.25" customHeight="1">
      <c r="A7" s="407"/>
      <c r="B7" s="407"/>
      <c r="C7" s="407"/>
      <c r="D7" s="407"/>
      <c r="E7" s="407"/>
      <c r="F7" s="407"/>
      <c r="G7" s="407"/>
      <c r="H7" s="407"/>
      <c r="I7" s="407"/>
      <c r="J7" s="407"/>
      <c r="K7" s="407"/>
      <c r="L7" s="407"/>
      <c r="M7" s="407"/>
      <c r="N7" s="407"/>
      <c r="O7" s="407"/>
      <c r="P7" s="407"/>
    </row>
    <row r="8" spans="1:16" ht="35.25" customHeight="1">
      <c r="A8" s="31"/>
      <c r="B8" s="342" t="s">
        <v>108</v>
      </c>
      <c r="C8" s="342"/>
      <c r="D8" s="399" t="s">
        <v>979</v>
      </c>
      <c r="E8" s="400"/>
      <c r="F8" s="401"/>
      <c r="G8" s="113"/>
      <c r="H8" s="117" t="s">
        <v>110</v>
      </c>
      <c r="I8" s="408" t="s">
        <v>978</v>
      </c>
      <c r="J8" s="408"/>
      <c r="K8" s="408"/>
      <c r="L8" s="7"/>
      <c r="M8" s="7"/>
      <c r="N8" s="7"/>
      <c r="O8" s="7"/>
      <c r="P8" s="20"/>
    </row>
    <row r="9" spans="1:16" ht="36.75" customHeight="1">
      <c r="A9" s="31"/>
      <c r="B9" s="342" t="s">
        <v>550</v>
      </c>
      <c r="C9" s="342"/>
      <c r="D9" s="399" t="s">
        <v>980</v>
      </c>
      <c r="E9" s="400"/>
      <c r="F9" s="401"/>
      <c r="G9" s="113"/>
      <c r="H9" s="117" t="s">
        <v>551</v>
      </c>
      <c r="I9" s="402" t="s">
        <v>93</v>
      </c>
      <c r="J9" s="402"/>
      <c r="K9" s="402"/>
      <c r="L9" s="7"/>
      <c r="M9" s="7"/>
      <c r="N9" s="7"/>
      <c r="O9" s="7"/>
      <c r="P9" s="20"/>
    </row>
    <row r="10" spans="1:16" ht="36.75" customHeight="1">
      <c r="A10" s="31"/>
      <c r="B10" s="342" t="s">
        <v>672</v>
      </c>
      <c r="C10" s="342"/>
      <c r="D10" s="221" t="s">
        <v>41</v>
      </c>
      <c r="E10" s="221" t="s">
        <v>60</v>
      </c>
      <c r="F10" s="121"/>
      <c r="G10" s="113"/>
      <c r="H10" s="151"/>
      <c r="I10" s="28"/>
      <c r="J10" s="28"/>
      <c r="K10" s="28"/>
      <c r="L10" s="7"/>
      <c r="M10" s="7"/>
      <c r="N10" s="7"/>
      <c r="O10" s="7"/>
      <c r="P10" s="20"/>
    </row>
    <row r="11" spans="1:16" ht="36.75" customHeight="1">
      <c r="A11" s="31"/>
      <c r="B11" s="74"/>
      <c r="C11" s="113"/>
      <c r="D11" s="221" t="s">
        <v>41</v>
      </c>
      <c r="E11" s="221" t="s">
        <v>61</v>
      </c>
      <c r="F11" s="121"/>
      <c r="G11" s="113"/>
      <c r="H11" s="151"/>
      <c r="I11" s="28"/>
      <c r="J11" s="28"/>
      <c r="K11" s="28"/>
      <c r="L11" s="7"/>
      <c r="M11" s="7"/>
      <c r="N11" s="7"/>
      <c r="O11" s="7"/>
      <c r="P11" s="20"/>
    </row>
    <row r="12" spans="1:16" ht="36.75" customHeight="1">
      <c r="A12" s="31"/>
      <c r="B12" s="74"/>
      <c r="C12" s="113"/>
      <c r="D12" s="221" t="s">
        <v>41</v>
      </c>
      <c r="E12" s="221" t="s">
        <v>62</v>
      </c>
      <c r="F12" s="121"/>
      <c r="G12" s="113"/>
      <c r="H12" s="151"/>
      <c r="I12" s="28"/>
      <c r="J12" s="28"/>
      <c r="K12" s="28"/>
      <c r="L12" s="7"/>
      <c r="M12" s="7"/>
      <c r="N12" s="7"/>
      <c r="O12" s="7"/>
      <c r="P12" s="20"/>
    </row>
    <row r="13" spans="1:16" ht="36.75" customHeight="1">
      <c r="A13" s="31"/>
      <c r="B13" s="74"/>
      <c r="C13" s="113"/>
      <c r="D13" s="221" t="s">
        <v>41</v>
      </c>
      <c r="E13" s="221" t="s">
        <v>63</v>
      </c>
      <c r="F13" s="121"/>
      <c r="G13" s="113"/>
      <c r="H13" s="151"/>
      <c r="I13" s="28"/>
      <c r="J13" s="28"/>
      <c r="K13" s="28"/>
      <c r="L13" s="7"/>
      <c r="M13" s="7"/>
      <c r="N13" s="7"/>
      <c r="O13" s="7"/>
      <c r="P13" s="20"/>
    </row>
    <row r="14" spans="1:16" ht="36.75" customHeight="1">
      <c r="A14" s="31"/>
      <c r="B14" s="74"/>
      <c r="C14" s="113"/>
      <c r="D14" s="221" t="s">
        <v>41</v>
      </c>
      <c r="E14" s="221" t="s">
        <v>64</v>
      </c>
      <c r="F14" s="121"/>
      <c r="G14" s="113"/>
      <c r="H14" s="151"/>
      <c r="I14" s="28"/>
      <c r="J14" s="28"/>
      <c r="K14" s="28"/>
      <c r="L14" s="7"/>
      <c r="M14" s="7"/>
      <c r="N14" s="7"/>
      <c r="O14" s="7"/>
      <c r="P14" s="20"/>
    </row>
    <row r="15" spans="1:16" ht="36.75" customHeight="1">
      <c r="A15" s="31"/>
      <c r="B15" s="74"/>
      <c r="C15" s="113"/>
      <c r="D15" s="221" t="s">
        <v>39</v>
      </c>
      <c r="E15" s="221" t="s">
        <v>65</v>
      </c>
      <c r="F15" s="121"/>
      <c r="G15" s="113"/>
      <c r="H15" s="151"/>
      <c r="I15" s="28"/>
      <c r="J15" s="28"/>
      <c r="K15" s="28"/>
      <c r="L15" s="7"/>
      <c r="M15" s="7"/>
      <c r="N15" s="7"/>
      <c r="O15" s="7"/>
      <c r="P15" s="20"/>
    </row>
    <row r="16" spans="1:16" ht="36.75" customHeight="1">
      <c r="A16" s="31"/>
      <c r="B16" s="74"/>
      <c r="C16" s="113"/>
      <c r="D16" s="221" t="s">
        <v>39</v>
      </c>
      <c r="E16" s="221" t="s">
        <v>66</v>
      </c>
      <c r="F16" s="121"/>
      <c r="G16" s="113"/>
      <c r="H16" s="151"/>
      <c r="I16" s="28"/>
      <c r="J16" s="28"/>
      <c r="K16" s="28"/>
      <c r="L16" s="7"/>
      <c r="M16" s="7"/>
      <c r="N16" s="7"/>
      <c r="O16" s="7"/>
      <c r="P16" s="20"/>
    </row>
    <row r="17" spans="1:16" ht="18" customHeight="1">
      <c r="A17" s="31"/>
      <c r="B17" s="74"/>
      <c r="C17" s="113"/>
      <c r="D17" s="113"/>
      <c r="E17" s="28"/>
      <c r="F17" s="28"/>
      <c r="G17" s="113"/>
      <c r="H17" s="113"/>
      <c r="I17" s="28"/>
      <c r="J17" s="28"/>
      <c r="K17" s="28"/>
      <c r="L17" s="7"/>
      <c r="M17" s="7"/>
      <c r="N17" s="7"/>
      <c r="O17" s="7"/>
      <c r="P17" s="20"/>
    </row>
    <row r="18" spans="1:16" ht="84.75" customHeight="1">
      <c r="A18" s="31"/>
      <c r="B18" s="258">
        <f>uniform!C27</f>
        <v>6</v>
      </c>
      <c r="C18" s="258">
        <v>6</v>
      </c>
      <c r="D18" s="258">
        <f>B18-C18</f>
        <v>0</v>
      </c>
      <c r="E18" s="404" t="str">
        <f>MID(uniform!C64,1,LEN(uniform!C64))&amp;"The lowest wage paid for regular working time in the sampled workers was CNY "&amp;uniform!K32&amp;" (including basic wage CNY "&amp;uniform!D27&amp;", "&amp;uniform!J34&amp;"; excluding overtime pay) per month."</f>
        <v>The auditor selected 6 samples from 04/2025 (last paid month), 6 samples from 01/2025 (random month), 6 samples from 11/2024 (random month). The lowest wage paid for regular working time in the sampled workers was CNY 3100 (including basic wage CNY 3000, ; excluding overtime pay) per month.</v>
      </c>
      <c r="F18" s="405"/>
      <c r="G18" s="405"/>
      <c r="H18" s="406"/>
      <c r="I18" s="28"/>
      <c r="J18" s="28"/>
      <c r="K18" s="28"/>
      <c r="L18" s="113"/>
      <c r="M18" s="113"/>
      <c r="N18" s="113"/>
      <c r="O18" s="113"/>
      <c r="P18" s="20"/>
    </row>
    <row r="19" spans="1:16" ht="33" customHeight="1">
      <c r="A19" s="74"/>
      <c r="B19" s="348" t="s">
        <v>714</v>
      </c>
      <c r="C19" s="403"/>
      <c r="D19" s="403"/>
      <c r="E19" s="398"/>
      <c r="F19" s="222">
        <f>uniform!E62</f>
        <v>62</v>
      </c>
      <c r="M19" s="7"/>
      <c r="N19" s="7"/>
      <c r="O19" s="7"/>
      <c r="P19" s="73"/>
    </row>
    <row r="20" spans="1:16" ht="38.25" customHeight="1">
      <c r="A20" s="74"/>
      <c r="B20" s="348" t="s">
        <v>715</v>
      </c>
      <c r="C20" s="403"/>
      <c r="D20" s="403"/>
      <c r="E20" s="398"/>
      <c r="F20" s="222">
        <f>uniform!D63</f>
        <v>5</v>
      </c>
      <c r="I20"/>
      <c r="J20"/>
      <c r="K20"/>
      <c r="L20"/>
      <c r="M20" s="7"/>
      <c r="N20" s="7"/>
      <c r="O20" s="7"/>
      <c r="P20" s="73"/>
    </row>
    <row r="21" spans="1:16" ht="21.75" customHeight="1">
      <c r="A21" s="74"/>
      <c r="B21" s="113"/>
      <c r="C21" s="113"/>
      <c r="D21" s="113"/>
      <c r="E21" s="113"/>
      <c r="I21"/>
      <c r="J21"/>
      <c r="K21"/>
      <c r="L21"/>
      <c r="M21" s="7"/>
      <c r="N21" s="7"/>
      <c r="O21" s="7"/>
      <c r="P21" s="73"/>
    </row>
    <row r="22" spans="1:16" ht="72" customHeight="1">
      <c r="A22" s="74"/>
      <c r="B22" s="348" t="s">
        <v>558</v>
      </c>
      <c r="C22" s="403"/>
      <c r="D22" s="403"/>
      <c r="E22" s="398"/>
      <c r="F22" s="404" t="s">
        <v>988</v>
      </c>
      <c r="G22" s="405"/>
      <c r="H22" s="406"/>
      <c r="I22" s="28"/>
      <c r="J22" s="28"/>
      <c r="K22" s="28"/>
      <c r="L22" s="28"/>
      <c r="M22" s="7"/>
      <c r="N22" s="7"/>
      <c r="O22" s="7"/>
      <c r="P22" s="73"/>
    </row>
    <row r="23" spans="1:16" ht="62.25" customHeight="1">
      <c r="A23" s="74"/>
      <c r="B23" s="348" t="s">
        <v>726</v>
      </c>
      <c r="C23" s="403"/>
      <c r="D23" s="403"/>
      <c r="E23" s="398"/>
      <c r="F23" s="404" t="s">
        <v>987</v>
      </c>
      <c r="G23" s="405"/>
      <c r="H23" s="406"/>
      <c r="I23" s="28"/>
      <c r="J23" s="28"/>
      <c r="K23" s="28"/>
      <c r="L23" s="28"/>
      <c r="M23" s="7"/>
      <c r="N23" s="7"/>
      <c r="O23" s="7"/>
      <c r="P23" s="73"/>
    </row>
    <row r="24" spans="1:16" ht="20.25" customHeight="1">
      <c r="A24" s="412"/>
      <c r="B24" s="412"/>
      <c r="C24" s="412"/>
      <c r="D24" s="412"/>
      <c r="E24" s="412"/>
      <c r="F24" s="412"/>
      <c r="G24" s="412"/>
      <c r="H24" s="412"/>
      <c r="I24" s="412"/>
      <c r="J24" s="412"/>
      <c r="K24" s="412"/>
      <c r="L24" s="412"/>
      <c r="M24" s="412"/>
      <c r="N24" s="412"/>
      <c r="O24" s="412"/>
      <c r="P24" s="412"/>
    </row>
    <row r="25" spans="1:16" ht="36" customHeight="1">
      <c r="A25" s="74"/>
      <c r="B25" s="413" t="s">
        <v>869</v>
      </c>
      <c r="C25" s="414"/>
      <c r="D25" s="414"/>
      <c r="E25" s="415"/>
      <c r="F25" s="222">
        <f>uniform!K32</f>
        <v>3100</v>
      </c>
      <c r="G25" s="225" t="s">
        <v>858</v>
      </c>
      <c r="H25" s="222" t="s">
        <v>616</v>
      </c>
      <c r="I25" s="113"/>
      <c r="J25" s="113"/>
      <c r="K25" s="113"/>
      <c r="L25" s="113"/>
      <c r="M25" s="113"/>
      <c r="N25" s="113"/>
      <c r="O25" s="113"/>
      <c r="P25" s="73"/>
    </row>
    <row r="26" spans="1:16" ht="40.5" customHeight="1">
      <c r="A26" s="74"/>
      <c r="B26" s="413" t="s">
        <v>737</v>
      </c>
      <c r="C26" s="414"/>
      <c r="D26" s="414"/>
      <c r="E26" s="415"/>
      <c r="F26" s="222">
        <f>payday</f>
        <v>30</v>
      </c>
      <c r="G26" s="113"/>
      <c r="H26" s="113"/>
      <c r="I26" s="113"/>
      <c r="J26" s="113"/>
      <c r="K26" s="113"/>
      <c r="L26" s="113"/>
      <c r="M26" s="113"/>
      <c r="N26" s="113"/>
      <c r="O26" s="113"/>
      <c r="P26" s="73"/>
    </row>
    <row r="27" spans="1:16" ht="18" customHeight="1">
      <c r="A27" s="74"/>
      <c r="B27" s="113"/>
      <c r="C27" s="113"/>
      <c r="D27" s="113"/>
      <c r="E27" s="113"/>
      <c r="F27" s="28"/>
      <c r="G27" s="113"/>
      <c r="H27" s="113"/>
      <c r="I27" s="113"/>
      <c r="J27" s="113"/>
      <c r="K27" s="113"/>
      <c r="L27" s="113"/>
      <c r="M27" s="113"/>
      <c r="N27" s="113"/>
      <c r="O27" s="113"/>
      <c r="P27" s="73"/>
    </row>
    <row r="28" spans="1:16" ht="38.15" customHeight="1">
      <c r="A28" s="31"/>
      <c r="B28" s="348" t="s">
        <v>552</v>
      </c>
      <c r="C28" s="403"/>
      <c r="D28" s="403"/>
      <c r="E28" s="398"/>
      <c r="F28" s="409" t="str">
        <f>IF(uniform!B16=TRUE, "Yes", "None")</f>
        <v>None</v>
      </c>
      <c r="G28" s="410"/>
      <c r="H28" s="411"/>
      <c r="I28" s="28"/>
      <c r="J28" s="28"/>
      <c r="K28" s="28"/>
      <c r="L28" s="7"/>
      <c r="M28" s="7"/>
      <c r="N28" s="7"/>
      <c r="O28" s="7"/>
      <c r="P28" s="20"/>
    </row>
    <row r="29" spans="1:16" ht="38.15" customHeight="1">
      <c r="A29" s="31"/>
      <c r="B29" s="348" t="s">
        <v>560</v>
      </c>
      <c r="C29" s="403"/>
      <c r="D29" s="403"/>
      <c r="E29" s="398"/>
      <c r="F29" s="409" t="s">
        <v>895</v>
      </c>
      <c r="G29" s="410"/>
      <c r="H29" s="411"/>
      <c r="I29" s="28"/>
      <c r="J29" s="28"/>
      <c r="K29" s="28"/>
      <c r="L29" s="7"/>
      <c r="M29" s="7"/>
      <c r="N29" s="7"/>
      <c r="O29" s="7"/>
      <c r="P29" s="20"/>
    </row>
    <row r="30" spans="1:16" ht="38.15" customHeight="1">
      <c r="A30" s="31"/>
      <c r="B30" s="348" t="s">
        <v>561</v>
      </c>
      <c r="C30" s="403"/>
      <c r="D30" s="403"/>
      <c r="E30" s="398"/>
      <c r="F30" s="409">
        <f>uniform!H16</f>
        <v>0</v>
      </c>
      <c r="G30" s="410"/>
      <c r="H30" s="411"/>
      <c r="I30" s="28"/>
      <c r="J30" s="28"/>
      <c r="K30" s="28"/>
      <c r="L30" s="7"/>
      <c r="M30" s="7"/>
      <c r="N30" s="7"/>
      <c r="O30" s="7"/>
      <c r="P30" s="20"/>
    </row>
    <row r="31" spans="1:16" ht="38.15" customHeight="1">
      <c r="A31" s="31"/>
      <c r="B31" s="348" t="s">
        <v>562</v>
      </c>
      <c r="C31" s="403"/>
      <c r="D31" s="403"/>
      <c r="E31" s="398"/>
      <c r="F31" s="409" t="str">
        <f>uniform!I16</f>
        <v>Production worker</v>
      </c>
      <c r="G31" s="410"/>
      <c r="H31" s="411"/>
      <c r="I31" s="28"/>
      <c r="J31" s="28"/>
      <c r="K31" s="28"/>
      <c r="L31" s="7"/>
      <c r="M31" s="7"/>
      <c r="N31" s="7"/>
      <c r="O31" s="7"/>
      <c r="P31" s="20"/>
    </row>
    <row r="32" spans="1:16" ht="38.15" customHeight="1">
      <c r="A32" s="31"/>
      <c r="B32" s="348" t="s">
        <v>563</v>
      </c>
      <c r="C32" s="403"/>
      <c r="D32" s="403"/>
      <c r="E32" s="398"/>
      <c r="F32" s="409">
        <f>uniform!G16</f>
        <v>2021</v>
      </c>
      <c r="G32" s="410"/>
      <c r="H32" s="411"/>
      <c r="I32" s="28"/>
      <c r="J32" s="28"/>
      <c r="K32" s="28"/>
      <c r="L32" s="7"/>
      <c r="M32" s="7"/>
      <c r="N32" s="7"/>
      <c r="O32" s="7"/>
      <c r="P32" s="20"/>
    </row>
    <row r="33" spans="1:16" ht="21.75" customHeight="1">
      <c r="A33" s="31"/>
      <c r="B33" s="74"/>
      <c r="C33" s="113"/>
      <c r="D33" s="113"/>
      <c r="E33" s="28"/>
      <c r="F33" s="28"/>
      <c r="G33" s="113"/>
      <c r="H33" s="113"/>
      <c r="I33" s="28"/>
      <c r="J33" s="28"/>
      <c r="K33" s="28"/>
      <c r="L33" s="7"/>
      <c r="M33" s="7"/>
      <c r="N33" s="7"/>
      <c r="O33" s="7"/>
      <c r="P33" s="20"/>
    </row>
  </sheetData>
  <sheetProtection selectLockedCells="1"/>
  <mergeCells count="38">
    <mergeCell ref="B28:E28"/>
    <mergeCell ref="F28:H28"/>
    <mergeCell ref="B23:E23"/>
    <mergeCell ref="F23:H23"/>
    <mergeCell ref="A24:P24"/>
    <mergeCell ref="B25:E25"/>
    <mergeCell ref="B26:E26"/>
    <mergeCell ref="B32:E32"/>
    <mergeCell ref="F32:H32"/>
    <mergeCell ref="B29:E29"/>
    <mergeCell ref="F29:H29"/>
    <mergeCell ref="B30:E30"/>
    <mergeCell ref="F30:H30"/>
    <mergeCell ref="B31:E31"/>
    <mergeCell ref="F31:H31"/>
    <mergeCell ref="B19:E19"/>
    <mergeCell ref="B20:E20"/>
    <mergeCell ref="B22:E22"/>
    <mergeCell ref="F22:H22"/>
    <mergeCell ref="A7:P7"/>
    <mergeCell ref="B8:C8"/>
    <mergeCell ref="D8:F8"/>
    <mergeCell ref="I8:K8"/>
    <mergeCell ref="B9:C9"/>
    <mergeCell ref="D9:F9"/>
    <mergeCell ref="E18:H18"/>
    <mergeCell ref="I9:K9"/>
    <mergeCell ref="B3:C3"/>
    <mergeCell ref="B4:C4"/>
    <mergeCell ref="A1:P1"/>
    <mergeCell ref="A2:P2"/>
    <mergeCell ref="B10:C10"/>
    <mergeCell ref="B5:C5"/>
    <mergeCell ref="D5:F5"/>
    <mergeCell ref="I5:K5"/>
    <mergeCell ref="B6:C6"/>
    <mergeCell ref="D6:F6"/>
    <mergeCell ref="I6:K6"/>
  </mergeCells>
  <phoneticPr fontId="17" type="noConversion"/>
  <dataValidations count="9">
    <dataValidation type="list" allowBlank="1" showInputMessage="1" showErrorMessage="1" prompt="Please select" sqref="D10:D16" xr:uid="{00000000-0002-0000-0800-000000000000}">
      <formula1>Yes_No</formula1>
    </dataValidation>
    <dataValidation type="whole" allowBlank="1" showInputMessage="1" showErrorMessage="1" error="whole number between 0 and 9.999" prompt="Whole number only" sqref="F19:F20" xr:uid="{00000000-0002-0000-0800-000001000000}">
      <formula1>0</formula1>
      <formula2>9999</formula2>
    </dataValidation>
    <dataValidation type="list" allowBlank="1" showInputMessage="1" showErrorMessage="1" sqref="K3:K4 F3:F4 H25" xr:uid="{00000000-0002-0000-0800-000002000000}">
      <formula1>ListFrequency</formula1>
    </dataValidation>
    <dataValidation type="whole" allowBlank="1" showInputMessage="1" showErrorMessage="1" promptTitle="Year" prompt="Enter a Year only (for example: 2014)" sqref="F32" xr:uid="{00000000-0002-0000-0800-000003000000}">
      <formula1>1000</formula1>
      <formula2>9999</formula2>
    </dataValidation>
    <dataValidation type="decimal" allowBlank="1" showInputMessage="1" showErrorMessage="1" error="whole number between 0 and 9.999" prompt="enter a numeric value" sqref="I4 D4" xr:uid="{00000000-0002-0000-0800-000004000000}">
      <formula1>0</formula1>
      <formula2>1000000000</formula2>
    </dataValidation>
    <dataValidation type="decimal" allowBlank="1" showInputMessage="1" showErrorMessage="1" prompt="enter a numeric value" sqref="I6:K6" xr:uid="{00000000-0002-0000-0800-000005000000}">
      <formula1>0</formula1>
      <formula2>10000</formula2>
    </dataValidation>
    <dataValidation type="whole" allowBlank="1" showInputMessage="1" showErrorMessage="1" error="whole number between 0 and 999999999" prompt="enter a whole number" sqref="F25" xr:uid="{00000000-0002-0000-0800-000006000000}">
      <formula1>0</formula1>
      <formula2>1000000000</formula2>
    </dataValidation>
    <dataValidation type="decimal" allowBlank="1" showInputMessage="1" showErrorMessage="1" error="whole number between 0 and 999999999" prompt="enter a numeric value" sqref="I3 D3" xr:uid="{00000000-0002-0000-0800-000007000000}">
      <formula1>0</formula1>
      <formula2>1000000000</formula2>
    </dataValidation>
    <dataValidation type="decimal" allowBlank="1" showInputMessage="1" showErrorMessage="1" error="enter a number only" prompt="enter a numeric value" sqref="D8:F8" xr:uid="{00000000-0002-0000-0800-00000A000000}">
      <formula1>0</formula1>
      <formula2>10000</formula2>
    </dataValidation>
  </dataValidations>
  <pageMargins left="0.25" right="0.25" top="0.75" bottom="0.75" header="0.3" footer="0.3"/>
  <pageSetup paperSize="8" scale="78"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dps">
    <tabColor theme="6"/>
    <pageSetUpPr fitToPage="1"/>
  </sheetPr>
  <dimension ref="A1:N13"/>
  <sheetViews>
    <sheetView showGridLines="0" zoomScaleNormal="100" workbookViewId="0">
      <selection activeCell="B12" sqref="B12"/>
    </sheetView>
  </sheetViews>
  <sheetFormatPr defaultColWidth="9.08984375" defaultRowHeight="14.5"/>
  <cols>
    <col min="1" max="1" width="4.08984375" style="4" customWidth="1"/>
    <col min="2" max="2" width="22.36328125" style="4" customWidth="1"/>
    <col min="3" max="3" width="10.36328125" style="12" customWidth="1"/>
    <col min="4" max="4" width="20.7265625" style="12" customWidth="1"/>
    <col min="5" max="5" width="19.36328125" style="12" hidden="1" customWidth="1"/>
    <col min="6" max="7" width="13.7265625" style="12" hidden="1" customWidth="1"/>
    <col min="8" max="9" width="14.7265625" style="12" hidden="1" customWidth="1"/>
    <col min="10" max="10" width="16" style="12" hidden="1" customWidth="1"/>
    <col min="11" max="11" width="15.7265625" style="12" hidden="1" customWidth="1"/>
    <col min="12" max="12" width="26.36328125" style="12" hidden="1" customWidth="1"/>
    <col min="13" max="13" width="3.08984375" style="1" customWidth="1"/>
  </cols>
  <sheetData>
    <row r="1" spans="1:14" ht="23.25" customHeight="1">
      <c r="A1" s="366" t="s">
        <v>559</v>
      </c>
      <c r="B1" s="366"/>
      <c r="C1" s="366"/>
      <c r="D1" s="366"/>
      <c r="E1" s="366"/>
      <c r="F1" s="366"/>
      <c r="G1" s="366"/>
      <c r="H1" s="366"/>
      <c r="I1" s="366"/>
      <c r="J1" s="366"/>
      <c r="K1" s="366"/>
      <c r="L1" s="366"/>
      <c r="M1" s="366"/>
      <c r="N1" s="9" t="s">
        <v>1635</v>
      </c>
    </row>
    <row r="2" spans="1:14" ht="26.25" hidden="1" customHeight="1">
      <c r="A2" s="31"/>
      <c r="B2" s="296" t="s">
        <v>1738</v>
      </c>
      <c r="C2" s="297" t="s">
        <v>1739</v>
      </c>
      <c r="D2" s="297" t="s">
        <v>1740</v>
      </c>
      <c r="E2" s="298" t="s">
        <v>1741</v>
      </c>
      <c r="F2" s="287" t="s">
        <v>1742</v>
      </c>
      <c r="G2" s="296" t="s">
        <v>1743</v>
      </c>
      <c r="H2" s="287" t="s">
        <v>1744</v>
      </c>
      <c r="I2" s="296" t="s">
        <v>1745</v>
      </c>
      <c r="J2" s="287" t="s">
        <v>1746</v>
      </c>
      <c r="K2" s="296" t="s">
        <v>1747</v>
      </c>
      <c r="L2" s="297" t="s">
        <v>1748</v>
      </c>
      <c r="M2" s="20"/>
      <c r="N2" s="9"/>
    </row>
    <row r="3" spans="1:14" ht="23.25" customHeight="1">
      <c r="A3" s="31"/>
      <c r="B3" s="288" t="s">
        <v>146</v>
      </c>
      <c r="C3" s="286" t="s">
        <v>113</v>
      </c>
      <c r="D3" s="286" t="s">
        <v>67</v>
      </c>
      <c r="E3" s="284" t="s">
        <v>68</v>
      </c>
      <c r="F3" s="194" t="s">
        <v>69</v>
      </c>
      <c r="G3" s="288"/>
      <c r="H3" s="194" t="s">
        <v>70</v>
      </c>
      <c r="I3" s="288"/>
      <c r="J3" s="194" t="s">
        <v>71</v>
      </c>
      <c r="K3" s="288"/>
      <c r="L3" s="286" t="s">
        <v>75</v>
      </c>
      <c r="M3" s="20"/>
      <c r="N3" s="302">
        <f>SUM(D5:D13)</f>
        <v>39</v>
      </c>
    </row>
    <row r="4" spans="1:14" ht="48.75" customHeight="1">
      <c r="A4" s="31"/>
      <c r="B4" s="288"/>
      <c r="C4" s="287"/>
      <c r="D4" s="287"/>
      <c r="E4" s="285"/>
      <c r="F4" s="124" t="s">
        <v>72</v>
      </c>
      <c r="G4" s="124" t="s">
        <v>73</v>
      </c>
      <c r="H4" s="124" t="s">
        <v>72</v>
      </c>
      <c r="I4" s="124" t="s">
        <v>73</v>
      </c>
      <c r="J4" s="124" t="s">
        <v>74</v>
      </c>
      <c r="K4" s="124" t="s">
        <v>73</v>
      </c>
      <c r="L4" s="287"/>
      <c r="M4" s="20"/>
      <c r="N4" s="9"/>
    </row>
    <row r="5" spans="1:14" ht="24" customHeight="1">
      <c r="A5" s="31"/>
      <c r="B5" s="290" t="s">
        <v>1638</v>
      </c>
      <c r="C5" s="163"/>
      <c r="D5" s="164">
        <v>2</v>
      </c>
      <c r="E5" s="240">
        <f>IF(ISBLANK(H5),1,IF(ISBLANK(J5),2,3))</f>
        <v>1</v>
      </c>
      <c r="F5" s="163" t="s">
        <v>803</v>
      </c>
      <c r="G5" s="163" t="s">
        <v>827</v>
      </c>
      <c r="H5" s="163"/>
      <c r="I5" s="163"/>
      <c r="J5" s="163"/>
      <c r="K5" s="163"/>
      <c r="L5" s="295" t="str">
        <f>IF(ISBLANK(H5),"NO","YES")</f>
        <v>NO</v>
      </c>
      <c r="M5" s="20"/>
      <c r="N5" s="9"/>
    </row>
    <row r="6" spans="1:14" ht="38.5" customHeight="1">
      <c r="A6" s="31"/>
      <c r="B6" s="291" t="s">
        <v>1639</v>
      </c>
      <c r="C6" s="281"/>
      <c r="D6" s="281">
        <v>3</v>
      </c>
      <c r="E6" s="240">
        <f t="shared" ref="E6:E11" si="0">IF(ISBLANK(H6),1,IF(ISBLANK(J6),2,3))</f>
        <v>1</v>
      </c>
      <c r="F6" s="163" t="s">
        <v>803</v>
      </c>
      <c r="G6" s="163" t="s">
        <v>827</v>
      </c>
      <c r="H6" s="163"/>
      <c r="I6" s="163"/>
      <c r="J6" s="163"/>
      <c r="K6" s="163"/>
      <c r="L6" s="295" t="str">
        <f t="shared" ref="L6:L11" si="1">IF(ISBLANK(H6),"NO","YES")</f>
        <v>NO</v>
      </c>
      <c r="M6" s="20"/>
      <c r="N6" s="9"/>
    </row>
    <row r="7" spans="1:14" ht="29.25" hidden="1" customHeight="1">
      <c r="A7" s="32"/>
      <c r="B7" s="292"/>
      <c r="C7" s="282"/>
      <c r="D7" s="282"/>
      <c r="E7" s="240">
        <f t="shared" si="0"/>
        <v>1</v>
      </c>
      <c r="F7" s="163" t="s">
        <v>803</v>
      </c>
      <c r="G7" s="163" t="s">
        <v>827</v>
      </c>
      <c r="H7" s="163"/>
      <c r="I7" s="163"/>
      <c r="J7" s="163"/>
      <c r="K7" s="163"/>
      <c r="L7" s="295" t="str">
        <f t="shared" si="1"/>
        <v>NO</v>
      </c>
      <c r="M7" s="10"/>
      <c r="N7" s="9"/>
    </row>
    <row r="8" spans="1:14" ht="30" hidden="1" customHeight="1">
      <c r="A8" s="32"/>
      <c r="B8" s="292"/>
      <c r="C8" s="282"/>
      <c r="D8" s="282"/>
      <c r="E8" s="240">
        <f t="shared" si="0"/>
        <v>1</v>
      </c>
      <c r="F8" s="163" t="s">
        <v>803</v>
      </c>
      <c r="G8" s="163" t="s">
        <v>827</v>
      </c>
      <c r="H8" s="163"/>
      <c r="I8" s="163"/>
      <c r="J8" s="163"/>
      <c r="K8" s="163"/>
      <c r="L8" s="295" t="str">
        <f t="shared" si="1"/>
        <v>NO</v>
      </c>
      <c r="M8" s="10"/>
      <c r="N8" s="9"/>
    </row>
    <row r="9" spans="1:14" ht="85.5" hidden="1" customHeight="1">
      <c r="A9" s="32"/>
      <c r="B9" s="293"/>
      <c r="C9" s="283"/>
      <c r="D9" s="283"/>
      <c r="E9" s="240">
        <f t="shared" si="0"/>
        <v>1</v>
      </c>
      <c r="F9" s="163" t="s">
        <v>803</v>
      </c>
      <c r="G9" s="163" t="s">
        <v>827</v>
      </c>
      <c r="H9" s="163"/>
      <c r="I9" s="163"/>
      <c r="J9" s="163"/>
      <c r="K9" s="163"/>
      <c r="L9" s="295" t="str">
        <f t="shared" si="1"/>
        <v>NO</v>
      </c>
      <c r="M9" s="10"/>
      <c r="N9" s="9"/>
    </row>
    <row r="10" spans="1:14" ht="85.5" hidden="1" customHeight="1">
      <c r="A10" s="32"/>
      <c r="B10" s="294"/>
      <c r="C10" s="283"/>
      <c r="D10" s="164"/>
      <c r="E10" s="240"/>
      <c r="F10" s="163"/>
      <c r="G10" s="163"/>
      <c r="H10" s="163"/>
      <c r="I10" s="163"/>
      <c r="J10" s="163"/>
      <c r="K10" s="163"/>
      <c r="L10" s="295"/>
      <c r="M10" s="10"/>
      <c r="N10" s="9"/>
    </row>
    <row r="11" spans="1:14" ht="30" customHeight="1">
      <c r="A11" s="32"/>
      <c r="B11" s="294" t="s">
        <v>141</v>
      </c>
      <c r="C11" s="163"/>
      <c r="D11" s="159">
        <v>34</v>
      </c>
      <c r="E11" s="240">
        <f t="shared" si="0"/>
        <v>1</v>
      </c>
      <c r="F11" s="163" t="s">
        <v>803</v>
      </c>
      <c r="G11" s="163" t="s">
        <v>827</v>
      </c>
      <c r="H11" s="163"/>
      <c r="I11" s="163"/>
      <c r="J11" s="143"/>
      <c r="K11" s="143"/>
      <c r="L11" s="295" t="str">
        <f t="shared" si="1"/>
        <v>NO</v>
      </c>
      <c r="M11" s="10"/>
      <c r="N11" s="9"/>
    </row>
    <row r="12" spans="1:14" ht="30" customHeight="1">
      <c r="A12" s="32"/>
      <c r="B12" s="280" t="s">
        <v>1636</v>
      </c>
      <c r="C12" s="159"/>
      <c r="D12" s="159"/>
      <c r="E12" s="165"/>
      <c r="F12" s="143"/>
      <c r="G12" s="143"/>
      <c r="H12" s="143"/>
      <c r="I12" s="143"/>
      <c r="J12" s="143"/>
      <c r="K12" s="143"/>
      <c r="L12" s="159"/>
      <c r="M12" s="10"/>
      <c r="N12" s="9"/>
    </row>
    <row r="13" spans="1:14">
      <c r="B13" s="299" t="s">
        <v>1637</v>
      </c>
      <c r="C13" s="300"/>
      <c r="D13" s="300"/>
      <c r="E13" s="289"/>
      <c r="F13" s="301"/>
      <c r="G13" s="301"/>
      <c r="H13" s="301"/>
      <c r="I13" s="301"/>
      <c r="J13" s="301"/>
      <c r="K13" s="301"/>
      <c r="L13" s="300"/>
    </row>
  </sheetData>
  <sheetProtection insertColumns="0" insertRows="0" deleteColumns="0" deleteRows="0" selectLockedCells="1"/>
  <dataConsolidate link="1"/>
  <mergeCells count="1">
    <mergeCell ref="A1:M1"/>
  </mergeCells>
  <phoneticPr fontId="17" type="noConversion"/>
  <dataValidations count="5">
    <dataValidation type="list" allowBlank="1" showInputMessage="1" showErrorMessage="1" prompt="Please select" sqref="B11" xr:uid="{00000000-0002-0000-0900-000000000000}">
      <formula1>Department_2DE</formula1>
    </dataValidation>
    <dataValidation type="list" allowBlank="1" showInputMessage="1" showErrorMessage="1" prompt="Please select" sqref="L5:L13" xr:uid="{00000000-0002-0000-0900-000001000000}">
      <formula1>Yes_No</formula1>
    </dataValidation>
    <dataValidation type="list" allowBlank="1" showInputMessage="1" showErrorMessage="1" prompt="Please select" sqref="F5:K13" xr:uid="{00000000-0002-0000-0900-000002000000}">
      <formula1>WorkTime</formula1>
    </dataValidation>
    <dataValidation type="whole" allowBlank="1" showInputMessage="1" showErrorMessage="1" prompt="enter a whole number" sqref="D5:D6 D11:D13" xr:uid="{00000000-0002-0000-0900-000003000000}">
      <formula1>0</formula1>
      <formula2>100000</formula2>
    </dataValidation>
    <dataValidation type="whole" allowBlank="1" showInputMessage="1" showErrorMessage="1" prompt="Number of shifts" sqref="E5:E13" xr:uid="{00000000-0002-0000-0900-000004000000}">
      <formula1>0</formula1>
      <formula2>4</formula2>
    </dataValidation>
  </dataValidations>
  <pageMargins left="0.25" right="0.25" top="0.75" bottom="0.75" header="0.3" footer="0.3"/>
  <pageSetup paperSize="8" scale="61" fitToHeight="0" orientation="landscape"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des">
    <tabColor theme="6"/>
    <pageSetUpPr fitToPage="1"/>
  </sheetPr>
  <dimension ref="A1:AT86"/>
  <sheetViews>
    <sheetView showGridLines="0" topLeftCell="A38" zoomScale="90" zoomScaleNormal="90" workbookViewId="0">
      <selection activeCell="F57" sqref="F57"/>
    </sheetView>
  </sheetViews>
  <sheetFormatPr defaultColWidth="9.08984375" defaultRowHeight="14.5"/>
  <cols>
    <col min="1" max="1" width="4.08984375" style="4" customWidth="1"/>
    <col min="2" max="2" width="20.7265625" style="4" customWidth="1"/>
    <col min="3" max="3" width="20.7265625" style="12" customWidth="1"/>
    <col min="4" max="4" width="6.36328125" style="12" customWidth="1"/>
    <col min="5" max="5" width="15.7265625" style="12" customWidth="1"/>
    <col min="6" max="6" width="20.7265625" style="12" customWidth="1"/>
    <col min="7" max="7" width="4" style="12" customWidth="1"/>
    <col min="8" max="8" width="40.7265625" style="12" customWidth="1"/>
    <col min="9" max="10" width="13.7265625" style="12" customWidth="1"/>
    <col min="11" max="12" width="14.7265625" style="12" customWidth="1"/>
    <col min="13" max="13" width="19.36328125" style="12" customWidth="1"/>
    <col min="14" max="14" width="18.90625" style="12" customWidth="1"/>
    <col min="15" max="15" width="26.36328125" style="12" customWidth="1"/>
    <col min="16" max="16" width="4.7265625" style="1" customWidth="1"/>
  </cols>
  <sheetData>
    <row r="1" spans="1:46" ht="34.5" hidden="1" customHeight="1">
      <c r="A1" s="358" t="s">
        <v>49</v>
      </c>
      <c r="B1" s="358"/>
      <c r="C1" s="358"/>
      <c r="D1" s="358"/>
      <c r="E1" s="358"/>
      <c r="F1" s="358"/>
      <c r="G1" s="358"/>
      <c r="H1" s="358"/>
      <c r="I1" s="358"/>
      <c r="J1" s="358"/>
      <c r="K1" s="358"/>
      <c r="L1" s="358"/>
      <c r="M1" s="358"/>
      <c r="N1" s="358"/>
      <c r="O1" s="358"/>
      <c r="P1" s="358"/>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row>
    <row r="2" spans="1:46" ht="15" hidden="1" customHeight="1">
      <c r="A2" s="31"/>
      <c r="B2" s="31"/>
      <c r="C2" s="21"/>
      <c r="D2" s="21"/>
      <c r="E2" s="113"/>
      <c r="F2" s="113"/>
      <c r="G2" s="113"/>
      <c r="H2" s="113"/>
      <c r="I2" s="113"/>
      <c r="J2" s="113"/>
      <c r="K2" s="113"/>
      <c r="L2" s="113"/>
      <c r="M2" s="113"/>
      <c r="N2" s="113"/>
      <c r="O2" s="113"/>
      <c r="P2" s="20"/>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row>
    <row r="3" spans="1:46" ht="23.25" hidden="1" customHeight="1">
      <c r="A3" s="366" t="s">
        <v>564</v>
      </c>
      <c r="B3" s="366"/>
      <c r="C3" s="366"/>
      <c r="D3" s="366"/>
      <c r="E3" s="366"/>
      <c r="F3" s="366"/>
      <c r="G3" s="366"/>
      <c r="H3" s="366"/>
      <c r="I3" s="366"/>
      <c r="J3" s="366"/>
      <c r="K3" s="366"/>
      <c r="L3" s="366"/>
      <c r="M3" s="366"/>
      <c r="N3" s="366"/>
      <c r="O3" s="366"/>
      <c r="P3" s="366"/>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row>
    <row r="4" spans="1:46" ht="15" hidden="1" customHeight="1">
      <c r="A4" s="421"/>
      <c r="B4" s="421"/>
      <c r="C4" s="421"/>
      <c r="D4" s="421"/>
      <c r="E4" s="421"/>
      <c r="F4" s="421"/>
      <c r="G4" s="421"/>
      <c r="H4" s="421"/>
      <c r="I4" s="421"/>
      <c r="J4" s="421"/>
      <c r="K4" s="421"/>
      <c r="L4" s="421"/>
      <c r="M4" s="421"/>
      <c r="N4" s="421"/>
      <c r="O4" s="421"/>
      <c r="P4" s="421"/>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row>
    <row r="5" spans="1:46" ht="30" hidden="1" customHeight="1">
      <c r="A5" s="31"/>
      <c r="B5" s="422" t="s">
        <v>671</v>
      </c>
      <c r="C5" s="422"/>
      <c r="D5" s="422"/>
      <c r="E5" s="422"/>
      <c r="F5" s="422"/>
      <c r="G5" s="422"/>
      <c r="H5" s="422"/>
      <c r="I5" s="113"/>
      <c r="J5" s="113"/>
      <c r="K5" s="113"/>
      <c r="L5" s="113"/>
      <c r="M5" s="113"/>
      <c r="N5" s="113"/>
      <c r="O5" s="113"/>
      <c r="P5" s="20"/>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row>
    <row r="6" spans="1:46" ht="30" hidden="1" customHeight="1">
      <c r="A6" s="31"/>
      <c r="B6" s="118" t="s">
        <v>616</v>
      </c>
      <c r="C6" s="118" t="s">
        <v>617</v>
      </c>
      <c r="E6" s="7"/>
      <c r="F6" s="7"/>
      <c r="G6" s="7"/>
      <c r="H6" s="7"/>
      <c r="I6" s="113"/>
      <c r="J6" s="113"/>
      <c r="K6" s="113"/>
      <c r="L6" s="113"/>
      <c r="M6" s="113"/>
      <c r="N6" s="113"/>
      <c r="O6" s="113"/>
      <c r="P6" s="20"/>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row>
    <row r="7" spans="1:46" ht="15" hidden="1" customHeight="1">
      <c r="A7" s="31"/>
      <c r="B7" s="72" t="s">
        <v>603</v>
      </c>
      <c r="C7" s="146" t="s">
        <v>91</v>
      </c>
      <c r="E7"/>
      <c r="F7" s="7"/>
      <c r="G7" s="7"/>
      <c r="H7" s="7"/>
      <c r="I7" s="113"/>
      <c r="J7" s="113"/>
      <c r="K7" s="113"/>
      <c r="L7" s="113"/>
      <c r="M7" s="113"/>
      <c r="N7" s="113"/>
      <c r="O7" s="113"/>
      <c r="P7" s="20"/>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row>
    <row r="8" spans="1:46" ht="15" hidden="1" customHeight="1">
      <c r="A8" s="31"/>
      <c r="B8" s="72" t="s">
        <v>604</v>
      </c>
      <c r="C8" s="146" t="s">
        <v>91</v>
      </c>
      <c r="E8"/>
      <c r="F8" s="7"/>
      <c r="G8" s="7"/>
      <c r="H8" s="7"/>
      <c r="I8" s="113"/>
      <c r="J8" s="113"/>
      <c r="K8" s="113"/>
      <c r="L8" s="113"/>
      <c r="M8" s="113"/>
      <c r="N8" s="113"/>
      <c r="O8" s="113"/>
      <c r="P8" s="20"/>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row>
    <row r="9" spans="1:46" ht="15" hidden="1" customHeight="1">
      <c r="A9" s="31"/>
      <c r="B9" s="72" t="s">
        <v>605</v>
      </c>
      <c r="C9" s="146" t="s">
        <v>91</v>
      </c>
      <c r="E9"/>
      <c r="F9" s="7"/>
      <c r="G9" s="7"/>
      <c r="H9" s="7"/>
      <c r="I9" s="113"/>
      <c r="J9" s="113"/>
      <c r="K9" s="113"/>
      <c r="L9" s="113"/>
      <c r="M9" s="113"/>
      <c r="N9" s="113"/>
      <c r="O9" s="113"/>
      <c r="P9" s="20"/>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row>
    <row r="10" spans="1:46" ht="15" hidden="1" customHeight="1">
      <c r="A10" s="31"/>
      <c r="B10" s="72" t="s">
        <v>606</v>
      </c>
      <c r="C10" s="146" t="s">
        <v>91</v>
      </c>
      <c r="E10"/>
      <c r="F10" s="7"/>
      <c r="G10" s="7"/>
      <c r="H10" s="7"/>
      <c r="I10" s="113"/>
      <c r="J10" s="113"/>
      <c r="K10" s="113"/>
      <c r="L10" s="113"/>
      <c r="M10" s="113"/>
      <c r="N10" s="113"/>
      <c r="O10" s="113"/>
      <c r="P10" s="20"/>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row>
    <row r="11" spans="1:46" ht="15" hidden="1" customHeight="1">
      <c r="A11" s="31"/>
      <c r="B11" s="72" t="s">
        <v>607</v>
      </c>
      <c r="C11" s="146" t="s">
        <v>91</v>
      </c>
      <c r="E11"/>
      <c r="F11" s="7"/>
      <c r="G11" s="7"/>
      <c r="H11" s="7"/>
      <c r="I11" s="113"/>
      <c r="J11" s="113"/>
      <c r="K11" s="113"/>
      <c r="L11" s="113"/>
      <c r="M11" s="113"/>
      <c r="N11" s="113"/>
      <c r="O11" s="113"/>
      <c r="P11" s="20"/>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row>
    <row r="12" spans="1:46" ht="15" hidden="1" customHeight="1">
      <c r="A12" s="31"/>
      <c r="B12" s="72" t="s">
        <v>608</v>
      </c>
      <c r="C12" s="146" t="s">
        <v>91</v>
      </c>
      <c r="E12"/>
      <c r="F12" s="7"/>
      <c r="G12" s="7"/>
      <c r="H12" s="7"/>
      <c r="I12" s="113"/>
      <c r="J12" s="113"/>
      <c r="K12" s="113"/>
      <c r="L12" s="113"/>
      <c r="M12" s="113"/>
      <c r="N12" s="113"/>
      <c r="O12" s="113"/>
      <c r="P12" s="20"/>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row>
    <row r="13" spans="1:46" ht="15" hidden="1" customHeight="1">
      <c r="A13" s="31"/>
      <c r="B13" s="72" t="s">
        <v>609</v>
      </c>
      <c r="C13" s="146" t="s">
        <v>91</v>
      </c>
      <c r="E13"/>
      <c r="F13" s="7"/>
      <c r="G13" s="7"/>
      <c r="H13" s="7"/>
      <c r="I13" s="113"/>
      <c r="J13" s="113"/>
      <c r="K13" s="113"/>
      <c r="L13" s="113"/>
      <c r="M13" s="113"/>
      <c r="N13" s="113"/>
      <c r="O13" s="113"/>
      <c r="P13" s="20"/>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row>
    <row r="14" spans="1:46" ht="15" hidden="1" customHeight="1">
      <c r="A14" s="31"/>
      <c r="B14" s="72" t="s">
        <v>610</v>
      </c>
      <c r="C14" s="146" t="s">
        <v>91</v>
      </c>
      <c r="E14"/>
      <c r="F14" s="7"/>
      <c r="G14" s="7"/>
      <c r="H14" s="7"/>
      <c r="I14" s="113"/>
      <c r="J14" s="113"/>
      <c r="K14" s="113"/>
      <c r="L14" s="113"/>
      <c r="M14" s="113"/>
      <c r="N14" s="113"/>
      <c r="O14" s="113"/>
      <c r="P14" s="20"/>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row>
    <row r="15" spans="1:46" ht="15" hidden="1" customHeight="1">
      <c r="A15" s="31"/>
      <c r="B15" s="72" t="s">
        <v>611</v>
      </c>
      <c r="C15" s="146" t="s">
        <v>91</v>
      </c>
      <c r="E15"/>
      <c r="F15" s="7"/>
      <c r="G15" s="7"/>
      <c r="H15" s="7"/>
      <c r="I15" s="113"/>
      <c r="J15" s="113"/>
      <c r="K15" s="113"/>
      <c r="L15" s="113"/>
      <c r="M15" s="113"/>
      <c r="N15" s="113"/>
      <c r="O15" s="113"/>
      <c r="P15" s="20"/>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row>
    <row r="16" spans="1:46" ht="15" hidden="1" customHeight="1">
      <c r="A16" s="31"/>
      <c r="B16" s="72" t="s">
        <v>612</v>
      </c>
      <c r="C16" s="146" t="s">
        <v>91</v>
      </c>
      <c r="E16"/>
      <c r="F16" s="7"/>
      <c r="G16" s="7"/>
      <c r="H16" s="7"/>
      <c r="I16" s="113"/>
      <c r="J16" s="113"/>
      <c r="K16" s="113"/>
      <c r="L16" s="113"/>
      <c r="M16" s="113"/>
      <c r="N16" s="113"/>
      <c r="O16" s="113"/>
      <c r="P16" s="20"/>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row>
    <row r="17" spans="1:46" ht="15" hidden="1" customHeight="1">
      <c r="A17" s="31"/>
      <c r="B17" s="72" t="s">
        <v>613</v>
      </c>
      <c r="C17" s="146" t="s">
        <v>91</v>
      </c>
      <c r="E17"/>
      <c r="F17" s="7"/>
      <c r="G17" s="7"/>
      <c r="H17" s="7"/>
      <c r="I17" s="113"/>
      <c r="J17" s="113"/>
      <c r="K17" s="113"/>
      <c r="L17" s="113"/>
      <c r="M17" s="113"/>
      <c r="N17" s="113"/>
      <c r="O17" s="113"/>
      <c r="P17" s="20"/>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row>
    <row r="18" spans="1:46" ht="15" hidden="1" customHeight="1">
      <c r="A18" s="31"/>
      <c r="B18" s="72" t="s">
        <v>614</v>
      </c>
      <c r="C18" s="146" t="s">
        <v>91</v>
      </c>
      <c r="E18"/>
      <c r="F18" s="7"/>
      <c r="G18" s="7"/>
      <c r="H18" s="7"/>
      <c r="I18" s="113"/>
      <c r="J18" s="113"/>
      <c r="K18" s="113"/>
      <c r="L18" s="113"/>
      <c r="M18" s="113"/>
      <c r="N18" s="113"/>
      <c r="O18" s="113"/>
      <c r="P18" s="20"/>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row>
    <row r="19" spans="1:46" ht="30" hidden="1" customHeight="1">
      <c r="A19" s="31"/>
      <c r="B19" s="74"/>
      <c r="C19" s="113"/>
      <c r="D19" s="7"/>
      <c r="E19" s="7"/>
      <c r="F19" s="7"/>
      <c r="G19" s="7"/>
      <c r="H19" s="7"/>
      <c r="I19" s="113"/>
      <c r="J19" s="113"/>
      <c r="K19" s="113"/>
      <c r="L19" s="113"/>
      <c r="M19" s="113"/>
      <c r="N19" s="113"/>
      <c r="O19" s="113"/>
      <c r="P19" s="20"/>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row>
    <row r="20" spans="1:46" ht="23.25" customHeight="1">
      <c r="A20" s="366" t="s">
        <v>565</v>
      </c>
      <c r="B20" s="366"/>
      <c r="C20" s="366"/>
      <c r="D20" s="366"/>
      <c r="E20" s="366"/>
      <c r="F20" s="366"/>
      <c r="G20" s="366"/>
      <c r="H20" s="366"/>
      <c r="I20" s="366"/>
      <c r="J20" s="366"/>
      <c r="K20" s="366"/>
      <c r="L20" s="366"/>
      <c r="M20" s="366"/>
      <c r="N20" s="366"/>
      <c r="O20" s="366"/>
      <c r="P20" s="366"/>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row>
    <row r="21" spans="1:46" ht="15" hidden="1" customHeight="1">
      <c r="A21" s="407"/>
      <c r="B21" s="407"/>
      <c r="C21" s="407"/>
      <c r="D21" s="407"/>
      <c r="E21" s="407"/>
      <c r="F21" s="407"/>
      <c r="G21" s="407"/>
      <c r="H21" s="407"/>
      <c r="I21" s="407"/>
      <c r="J21" s="407"/>
      <c r="K21" s="407"/>
      <c r="L21" s="407"/>
      <c r="M21" s="407"/>
      <c r="N21" s="407"/>
      <c r="O21" s="407"/>
      <c r="P21" s="407"/>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row>
    <row r="22" spans="1:46" ht="35.25" customHeight="1">
      <c r="A22" s="119"/>
      <c r="B22" s="342" t="s">
        <v>566</v>
      </c>
      <c r="C22" s="342"/>
      <c r="D22" s="342"/>
      <c r="E22" s="342"/>
      <c r="F22" s="343" t="str">
        <f>'DE Background Information'!C25</f>
        <v>Mr. Zhou Weiwu/Production Manager</v>
      </c>
      <c r="G22" s="343"/>
      <c r="H22" s="343"/>
      <c r="I22" s="76"/>
      <c r="J22" s="76"/>
      <c r="K22" s="76"/>
      <c r="L22" s="76"/>
      <c r="M22" s="113"/>
      <c r="N22" s="113"/>
      <c r="O22" s="113"/>
      <c r="P22" s="120"/>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row>
    <row r="23" spans="1:46" ht="42.75" customHeight="1">
      <c r="A23" s="119"/>
      <c r="B23" s="342" t="s">
        <v>725</v>
      </c>
      <c r="C23" s="342"/>
      <c r="D23" s="342"/>
      <c r="E23" s="342"/>
      <c r="F23" s="343" t="str">
        <f>'DE Background Information'!C25</f>
        <v>Mr. Zhou Weiwu/Production Manager</v>
      </c>
      <c r="G23" s="343"/>
      <c r="H23" s="343"/>
      <c r="I23" s="76"/>
      <c r="J23" s="76"/>
      <c r="K23" s="76"/>
      <c r="L23" s="76"/>
      <c r="M23" s="113"/>
      <c r="N23" s="113"/>
      <c r="O23" s="113"/>
      <c r="P23" s="120"/>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row>
    <row r="24" spans="1:46" ht="40.5" customHeight="1">
      <c r="A24" s="119"/>
      <c r="B24" s="342" t="s">
        <v>567</v>
      </c>
      <c r="C24" s="342"/>
      <c r="D24" s="342"/>
      <c r="E24" s="342"/>
      <c r="F24" s="343" t="str">
        <f>'DE Background Information'!C25</f>
        <v>Mr. Zhou Weiwu/Production Manager</v>
      </c>
      <c r="G24" s="343"/>
      <c r="H24" s="343"/>
      <c r="I24" s="76"/>
      <c r="J24" s="76"/>
      <c r="K24" s="76"/>
      <c r="L24" s="76"/>
      <c r="M24" s="113"/>
      <c r="N24" s="113"/>
      <c r="O24" s="113"/>
      <c r="P24" s="120"/>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row>
    <row r="25" spans="1:46" ht="39.75" customHeight="1">
      <c r="A25" s="119"/>
      <c r="B25" s="342" t="s">
        <v>568</v>
      </c>
      <c r="C25" s="342"/>
      <c r="D25" s="342"/>
      <c r="E25" s="342"/>
      <c r="F25" s="343" t="str">
        <f>'DE Background Information'!C25</f>
        <v>Mr. Zhou Weiwu/Production Manager</v>
      </c>
      <c r="G25" s="343"/>
      <c r="H25" s="343"/>
      <c r="I25" s="113"/>
      <c r="J25" s="113"/>
      <c r="K25" s="113"/>
      <c r="L25" s="113"/>
      <c r="M25" s="113"/>
      <c r="N25" s="113"/>
      <c r="O25" s="113"/>
      <c r="P25" s="120"/>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row>
    <row r="26" spans="1:46" ht="42" customHeight="1">
      <c r="A26" s="119"/>
      <c r="B26" s="342" t="s">
        <v>1711</v>
      </c>
      <c r="C26" s="342"/>
      <c r="D26" s="342"/>
      <c r="E26" s="342"/>
      <c r="F26" s="344"/>
      <c r="G26" s="344"/>
      <c r="H26" s="344"/>
      <c r="I26" s="113"/>
      <c r="J26" s="113"/>
      <c r="K26" s="113"/>
      <c r="L26" s="113"/>
      <c r="M26" s="113"/>
      <c r="N26" s="113"/>
      <c r="O26" s="113"/>
      <c r="P26" s="120"/>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row>
    <row r="27" spans="1:46" ht="39" customHeight="1">
      <c r="A27" s="119"/>
      <c r="B27" s="342" t="s">
        <v>569</v>
      </c>
      <c r="C27" s="342"/>
      <c r="D27" s="342"/>
      <c r="E27" s="342"/>
      <c r="F27" s="344" t="s">
        <v>977</v>
      </c>
      <c r="G27" s="344"/>
      <c r="H27" s="344"/>
      <c r="I27" s="113"/>
      <c r="J27" s="113"/>
      <c r="K27" s="113"/>
      <c r="L27" s="113"/>
      <c r="M27" s="113"/>
      <c r="N27" s="113"/>
      <c r="O27" s="113"/>
      <c r="P27" s="120"/>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row>
    <row r="28" spans="1:46" ht="50.25" customHeight="1">
      <c r="A28" s="119"/>
      <c r="B28" s="342" t="s">
        <v>570</v>
      </c>
      <c r="C28" s="342"/>
      <c r="D28" s="342"/>
      <c r="E28" s="342"/>
      <c r="F28" s="344" t="s">
        <v>991</v>
      </c>
      <c r="G28" s="344"/>
      <c r="H28" s="344"/>
      <c r="I28" s="113"/>
      <c r="J28" s="113"/>
      <c r="K28" s="113"/>
      <c r="L28" s="113"/>
      <c r="M28" s="113"/>
      <c r="N28" s="113"/>
      <c r="O28" s="113"/>
      <c r="P28" s="120"/>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row>
    <row r="29" spans="1:46" ht="15" customHeight="1">
      <c r="A29" s="420"/>
      <c r="B29" s="420"/>
      <c r="C29" s="420"/>
      <c r="D29" s="420"/>
      <c r="E29" s="420"/>
      <c r="F29" s="420"/>
      <c r="G29" s="420"/>
      <c r="H29" s="420"/>
      <c r="I29" s="420"/>
      <c r="J29" s="420"/>
      <c r="K29" s="420"/>
      <c r="L29" s="420"/>
      <c r="M29" s="420"/>
      <c r="N29" s="420"/>
      <c r="O29" s="420"/>
      <c r="P29" s="420"/>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row>
    <row r="30" spans="1:46" ht="54" customHeight="1">
      <c r="A30" s="119"/>
      <c r="B30" s="342" t="s">
        <v>1714</v>
      </c>
      <c r="C30" s="342"/>
      <c r="D30" s="342"/>
      <c r="E30" s="342"/>
      <c r="F30" s="344" t="s">
        <v>1717</v>
      </c>
      <c r="G30" s="344"/>
      <c r="H30" s="344"/>
      <c r="I30" s="113"/>
      <c r="J30" s="113"/>
      <c r="K30" s="113"/>
      <c r="L30" s="113"/>
      <c r="M30" s="113"/>
      <c r="N30" s="113"/>
      <c r="O30" s="113"/>
      <c r="P30" s="120"/>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row>
    <row r="31" spans="1:46" ht="67.5" customHeight="1">
      <c r="A31" s="119"/>
      <c r="B31" s="342" t="s">
        <v>1715</v>
      </c>
      <c r="C31" s="342"/>
      <c r="D31" s="342"/>
      <c r="E31" s="342"/>
      <c r="F31" s="344" t="s">
        <v>93</v>
      </c>
      <c r="G31" s="344"/>
      <c r="H31" s="344"/>
      <c r="I31" s="113"/>
      <c r="J31" s="113"/>
      <c r="K31" s="113"/>
      <c r="L31" s="113"/>
      <c r="M31" s="113"/>
      <c r="N31" s="113"/>
      <c r="O31" s="113"/>
      <c r="P31" s="120"/>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row>
    <row r="32" spans="1:46" ht="58.5" customHeight="1">
      <c r="A32" s="119"/>
      <c r="B32" s="342" t="s">
        <v>1716</v>
      </c>
      <c r="C32" s="342"/>
      <c r="D32" s="342"/>
      <c r="E32" s="342"/>
      <c r="F32" s="344" t="s">
        <v>93</v>
      </c>
      <c r="G32" s="344"/>
      <c r="H32" s="344"/>
      <c r="I32" s="113"/>
      <c r="J32" s="113"/>
      <c r="K32" s="113"/>
      <c r="L32" s="113"/>
      <c r="M32" s="113"/>
      <c r="N32" s="113"/>
      <c r="O32" s="113"/>
      <c r="P32" s="120"/>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row>
    <row r="33" spans="1:46" ht="15" hidden="1" customHeight="1">
      <c r="A33" s="407"/>
      <c r="B33" s="407"/>
      <c r="C33" s="407"/>
      <c r="D33" s="407"/>
      <c r="E33" s="407"/>
      <c r="F33" s="407"/>
      <c r="G33" s="407"/>
      <c r="H33" s="407"/>
      <c r="I33" s="407"/>
      <c r="J33" s="407"/>
      <c r="K33" s="407"/>
      <c r="L33" s="407"/>
      <c r="M33" s="407"/>
      <c r="N33" s="407"/>
      <c r="O33" s="407"/>
      <c r="P33" s="407"/>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row>
    <row r="34" spans="1:46" ht="23.25" hidden="1" customHeight="1">
      <c r="A34" s="366" t="s">
        <v>571</v>
      </c>
      <c r="B34" s="366"/>
      <c r="C34" s="366"/>
      <c r="D34" s="366"/>
      <c r="E34" s="366"/>
      <c r="F34" s="366"/>
      <c r="G34" s="366"/>
      <c r="H34" s="366"/>
      <c r="I34" s="366"/>
      <c r="J34" s="366"/>
      <c r="K34" s="366"/>
      <c r="L34" s="366"/>
      <c r="M34" s="366"/>
      <c r="N34" s="366"/>
      <c r="O34" s="366"/>
      <c r="P34" s="366"/>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row>
    <row r="35" spans="1:46" ht="15" hidden="1" customHeight="1">
      <c r="A35" s="407"/>
      <c r="B35" s="407"/>
      <c r="C35" s="407"/>
      <c r="D35" s="407"/>
      <c r="E35" s="407"/>
      <c r="F35" s="407"/>
      <c r="G35" s="407"/>
      <c r="H35" s="407"/>
      <c r="I35" s="407"/>
      <c r="J35" s="407"/>
      <c r="K35" s="407"/>
      <c r="L35" s="407"/>
      <c r="M35" s="407"/>
      <c r="N35" s="407"/>
      <c r="O35" s="407"/>
      <c r="P35" s="407"/>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row>
    <row r="36" spans="1:46" ht="42.75" hidden="1" customHeight="1">
      <c r="A36" s="31"/>
      <c r="B36" s="348" t="s">
        <v>77</v>
      </c>
      <c r="C36" s="403"/>
      <c r="D36" s="403"/>
      <c r="E36" s="194">
        <f>SUM('DE Production Structure'!D:D)</f>
        <v>39</v>
      </c>
      <c r="F36" s="28"/>
      <c r="G36" s="28"/>
      <c r="H36" s="28"/>
      <c r="I36" s="113"/>
      <c r="J36" s="113"/>
      <c r="K36" s="113"/>
      <c r="L36" s="113"/>
      <c r="M36" s="113"/>
      <c r="N36" s="113"/>
      <c r="O36" s="113"/>
      <c r="P36" s="20"/>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row>
    <row r="37" spans="1:46" ht="88.5" hidden="1" customHeight="1">
      <c r="A37" s="31"/>
      <c r="B37" s="348" t="s">
        <v>884</v>
      </c>
      <c r="C37" s="403"/>
      <c r="D37" s="398"/>
      <c r="E37" s="194">
        <v>0</v>
      </c>
      <c r="F37" s="28"/>
      <c r="G37" s="28"/>
      <c r="H37" s="28"/>
      <c r="I37" s="113"/>
      <c r="J37" s="113"/>
      <c r="K37" s="113"/>
      <c r="L37" s="113"/>
      <c r="M37" s="113"/>
      <c r="N37" s="113"/>
      <c r="O37" s="113"/>
      <c r="P37" s="20"/>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row>
    <row r="38" spans="1:46" ht="9.75" customHeight="1">
      <c r="A38" s="31"/>
      <c r="B38" s="74"/>
      <c r="E38" s="113"/>
      <c r="F38" s="113"/>
      <c r="G38" s="113"/>
      <c r="H38" s="113"/>
      <c r="I38" s="113"/>
      <c r="J38" s="113"/>
      <c r="K38" s="113"/>
      <c r="L38" s="113"/>
      <c r="M38" s="113"/>
      <c r="N38" s="113"/>
      <c r="O38" s="113"/>
      <c r="P38" s="20"/>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row>
    <row r="39" spans="1:46" ht="34.5" hidden="1" customHeight="1">
      <c r="A39" s="31"/>
      <c r="B39" s="427" t="s">
        <v>701</v>
      </c>
      <c r="C39" s="428"/>
      <c r="D39" s="428"/>
      <c r="E39" s="428"/>
      <c r="F39" s="428"/>
      <c r="G39" s="113"/>
      <c r="H39" s="113"/>
      <c r="I39" s="113"/>
      <c r="J39" s="113"/>
      <c r="K39" s="113"/>
      <c r="L39" s="113"/>
      <c r="M39" s="113"/>
      <c r="N39" s="113"/>
      <c r="O39" s="113"/>
      <c r="P39" s="20"/>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row>
    <row r="40" spans="1:46" ht="33" customHeight="1">
      <c r="A40" s="31"/>
      <c r="B40" s="423"/>
      <c r="C40" s="424"/>
      <c r="D40" s="425" t="s">
        <v>78</v>
      </c>
      <c r="E40" s="425"/>
      <c r="F40" s="418" t="s">
        <v>79</v>
      </c>
      <c r="G40" s="419"/>
      <c r="H40" s="243" t="s">
        <v>100</v>
      </c>
      <c r="I40" s="113"/>
      <c r="J40" s="113"/>
      <c r="K40" s="113"/>
      <c r="L40" s="113"/>
      <c r="M40" s="113"/>
      <c r="N40" s="113"/>
      <c r="O40" s="113"/>
      <c r="P40" s="20"/>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row>
    <row r="41" spans="1:46" ht="24" customHeight="1">
      <c r="A41" s="31"/>
      <c r="B41" s="426" t="s">
        <v>80</v>
      </c>
      <c r="C41" s="426"/>
      <c r="D41" s="417">
        <v>16</v>
      </c>
      <c r="E41" s="417"/>
      <c r="F41" s="418">
        <f>H41-D41</f>
        <v>23</v>
      </c>
      <c r="G41" s="419"/>
      <c r="H41" s="243">
        <f>SUM('DE Production Structure'!D:D)</f>
        <v>39</v>
      </c>
      <c r="I41" s="243">
        <v>0</v>
      </c>
      <c r="J41" s="113"/>
      <c r="K41" s="113"/>
      <c r="L41" s="113"/>
      <c r="M41" s="113"/>
      <c r="N41" s="113"/>
      <c r="O41" s="113"/>
      <c r="P41" s="20"/>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row>
    <row r="42" spans="1:46" ht="24" hidden="1" customHeight="1">
      <c r="A42" s="31"/>
      <c r="B42" s="426" t="s">
        <v>572</v>
      </c>
      <c r="C42" s="426"/>
      <c r="D42" s="417">
        <v>0</v>
      </c>
      <c r="E42" s="417"/>
      <c r="F42" s="418">
        <v>0</v>
      </c>
      <c r="G42" s="419"/>
      <c r="H42" s="243">
        <f>SUM(D42:G42)</f>
        <v>0</v>
      </c>
      <c r="I42" s="113"/>
      <c r="J42" s="113"/>
      <c r="K42" s="113"/>
      <c r="L42" s="113"/>
      <c r="M42" s="113"/>
      <c r="N42" s="113"/>
      <c r="O42" s="113"/>
      <c r="P42" s="20"/>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row>
    <row r="43" spans="1:46" ht="24" customHeight="1">
      <c r="A43" s="31"/>
      <c r="B43" s="426" t="s">
        <v>573</v>
      </c>
      <c r="C43" s="426"/>
      <c r="D43" s="417">
        <v>1</v>
      </c>
      <c r="E43" s="417"/>
      <c r="F43" s="418">
        <f>'DE Production Structure'!D5-D43</f>
        <v>1</v>
      </c>
      <c r="G43" s="419"/>
      <c r="H43" s="243" cm="1">
        <f t="array" ref="H43">SUM(SUMIF('DE Production Structure'!B:B,{"Finances","Human Resources","Mgmt/General Admin"},'DE Production Structure'!D:D))</f>
        <v>0</v>
      </c>
      <c r="I43" s="113"/>
      <c r="J43" s="113"/>
      <c r="K43" s="113"/>
      <c r="L43" s="113"/>
      <c r="M43" s="113"/>
      <c r="N43" s="113"/>
      <c r="O43" s="113"/>
      <c r="P43" s="20"/>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row>
    <row r="44" spans="1:46" ht="24" customHeight="1">
      <c r="A44" s="31"/>
      <c r="B44" s="426" t="s">
        <v>81</v>
      </c>
      <c r="C44" s="426"/>
      <c r="D44" s="417">
        <v>0</v>
      </c>
      <c r="E44" s="417"/>
      <c r="F44" s="417">
        <v>0</v>
      </c>
      <c r="G44" s="417"/>
      <c r="H44" s="243">
        <f>SUM(D44:G44)</f>
        <v>0</v>
      </c>
      <c r="I44" s="113"/>
      <c r="J44" s="113"/>
      <c r="K44" s="113"/>
      <c r="L44" s="113"/>
      <c r="M44" s="113"/>
      <c r="N44" s="113"/>
      <c r="O44" s="113"/>
      <c r="P44" s="20"/>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row>
    <row r="45" spans="1:46" ht="24" customHeight="1">
      <c r="A45" s="31"/>
      <c r="B45" s="426" t="s">
        <v>82</v>
      </c>
      <c r="C45" s="426"/>
      <c r="D45" s="417">
        <v>0</v>
      </c>
      <c r="E45" s="417"/>
      <c r="F45" s="417">
        <v>0</v>
      </c>
      <c r="G45" s="417"/>
      <c r="H45" s="243">
        <f>SUM(D45:G45)</f>
        <v>0</v>
      </c>
      <c r="I45" s="113"/>
      <c r="J45" s="113"/>
      <c r="K45" s="113"/>
      <c r="L45" s="113"/>
      <c r="M45" s="113"/>
      <c r="N45" s="113"/>
      <c r="O45" s="113"/>
      <c r="P45" s="20"/>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row>
    <row r="46" spans="1:46" ht="24" customHeight="1">
      <c r="A46" s="31"/>
      <c r="B46" s="426" t="s">
        <v>83</v>
      </c>
      <c r="C46" s="426"/>
      <c r="D46" s="417">
        <v>0</v>
      </c>
      <c r="E46" s="417"/>
      <c r="F46" s="417">
        <v>0</v>
      </c>
      <c r="G46" s="417"/>
      <c r="H46" s="243">
        <f>SUM(D46:G46)</f>
        <v>0</v>
      </c>
      <c r="I46" s="113"/>
      <c r="J46" s="113"/>
      <c r="K46" s="113"/>
      <c r="L46" s="113"/>
      <c r="M46" s="113"/>
      <c r="N46" s="113"/>
      <c r="O46" s="113"/>
      <c r="P46" s="20"/>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row>
    <row r="47" spans="1:46" ht="24" customHeight="1">
      <c r="A47" s="31"/>
      <c r="B47" s="426" t="s">
        <v>574</v>
      </c>
      <c r="C47" s="426"/>
      <c r="D47" s="417">
        <v>6</v>
      </c>
      <c r="E47" s="417"/>
      <c r="F47" s="417">
        <v>11</v>
      </c>
      <c r="G47" s="417"/>
      <c r="H47" s="243">
        <f>SUM(D47:G47)</f>
        <v>17</v>
      </c>
      <c r="I47" s="113"/>
      <c r="J47" s="113"/>
      <c r="K47" s="113"/>
      <c r="L47" s="113"/>
      <c r="M47" s="113"/>
      <c r="N47" s="113"/>
      <c r="O47" s="113"/>
      <c r="P47" s="20"/>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row>
    <row r="48" spans="1:46" ht="24" hidden="1" customHeight="1">
      <c r="A48" s="31"/>
      <c r="B48" s="426" t="s">
        <v>575</v>
      </c>
      <c r="C48" s="426"/>
      <c r="D48" s="417">
        <v>0</v>
      </c>
      <c r="E48" s="417"/>
      <c r="F48" s="417">
        <v>0</v>
      </c>
      <c r="G48" s="417"/>
      <c r="H48" s="243">
        <f>SUM(D48:G48)</f>
        <v>0</v>
      </c>
      <c r="I48" s="416"/>
      <c r="J48" s="416"/>
      <c r="K48" s="113"/>
      <c r="L48" s="113"/>
      <c r="M48" s="113"/>
      <c r="N48" s="113"/>
      <c r="O48" s="113"/>
      <c r="P48" s="20"/>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row>
    <row r="49" spans="1:46" ht="24" hidden="1" customHeight="1">
      <c r="A49" s="31"/>
      <c r="B49" s="426" t="s">
        <v>576</v>
      </c>
      <c r="C49" s="426"/>
      <c r="D49" s="417">
        <f>D41</f>
        <v>16</v>
      </c>
      <c r="E49" s="417"/>
      <c r="F49" s="417">
        <f>F41</f>
        <v>23</v>
      </c>
      <c r="G49" s="417"/>
      <c r="H49" s="243"/>
      <c r="I49" s="113"/>
      <c r="J49" s="113"/>
      <c r="K49" s="113"/>
      <c r="L49" s="113"/>
      <c r="M49" s="113"/>
      <c r="N49" s="113"/>
      <c r="O49" s="113"/>
      <c r="P49" s="20"/>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row>
    <row r="50" spans="1:46" ht="24" customHeight="1">
      <c r="A50" s="31"/>
      <c r="B50" s="426" t="s">
        <v>84</v>
      </c>
      <c r="C50" s="426"/>
      <c r="D50" s="417">
        <v>14</v>
      </c>
      <c r="E50" s="417"/>
      <c r="F50" s="418">
        <f>'DE Production Structure'!D11-D50</f>
        <v>20</v>
      </c>
      <c r="G50" s="419"/>
      <c r="H50" s="243" cm="1">
        <f t="array" ref="H50">SUM(SUMIF('DE Production Structure'!B:B,{"Production","Warehouse"},'DE Production Structure'!D:D))</f>
        <v>34</v>
      </c>
      <c r="I50" s="113"/>
      <c r="J50" s="113"/>
      <c r="K50" s="113"/>
      <c r="L50" s="113"/>
      <c r="M50" s="113"/>
      <c r="N50" s="113"/>
      <c r="O50" s="113"/>
      <c r="P50" s="20"/>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row>
    <row r="51" spans="1:46" ht="24" customHeight="1">
      <c r="A51" s="31"/>
      <c r="B51" s="426" t="s">
        <v>577</v>
      </c>
      <c r="C51" s="426"/>
      <c r="D51" s="417">
        <v>0</v>
      </c>
      <c r="E51" s="417"/>
      <c r="F51" s="418">
        <v>0</v>
      </c>
      <c r="G51" s="419"/>
      <c r="H51" s="243" cm="1">
        <f t="array" ref="H51">SUM(SUMIF('DE Production Structure'!E:E, {2,3},'DE Production Structure'!D:D))</f>
        <v>0</v>
      </c>
      <c r="I51" s="113"/>
      <c r="J51" s="113"/>
      <c r="K51" s="113"/>
      <c r="L51" s="113"/>
      <c r="M51" s="113"/>
      <c r="N51" s="113"/>
      <c r="O51" s="113"/>
      <c r="P51" s="20"/>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row>
    <row r="52" spans="1:46" ht="24" customHeight="1">
      <c r="A52" s="31"/>
      <c r="B52" s="426" t="s">
        <v>85</v>
      </c>
      <c r="C52" s="426"/>
      <c r="D52" s="417">
        <v>0</v>
      </c>
      <c r="E52" s="417"/>
      <c r="F52" s="417">
        <v>0</v>
      </c>
      <c r="G52" s="417"/>
      <c r="H52" s="243">
        <f>SUM(D52:G52)</f>
        <v>0</v>
      </c>
      <c r="I52" s="113"/>
      <c r="J52" s="113"/>
      <c r="K52" s="113"/>
      <c r="L52" s="113"/>
      <c r="M52" s="113"/>
      <c r="N52" s="113"/>
      <c r="O52" s="113"/>
      <c r="P52" s="20"/>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row>
    <row r="53" spans="1:46" ht="24" customHeight="1">
      <c r="A53" s="31"/>
      <c r="B53" s="426" t="s">
        <v>86</v>
      </c>
      <c r="C53" s="426"/>
      <c r="D53" s="429"/>
      <c r="E53" s="429"/>
      <c r="F53" s="417">
        <v>0</v>
      </c>
      <c r="G53" s="417"/>
      <c r="H53" s="113"/>
      <c r="I53" s="113"/>
      <c r="J53" s="113"/>
      <c r="K53" s="113"/>
      <c r="L53" s="113"/>
      <c r="M53" s="113"/>
      <c r="N53" s="113"/>
      <c r="O53" s="113"/>
      <c r="P53" s="20"/>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row>
    <row r="54" spans="1:46" ht="24" customHeight="1">
      <c r="A54" s="31"/>
      <c r="B54" s="426" t="s">
        <v>87</v>
      </c>
      <c r="C54" s="426"/>
      <c r="D54" s="429">
        <v>0</v>
      </c>
      <c r="E54" s="429"/>
      <c r="F54" s="417">
        <v>0</v>
      </c>
      <c r="G54" s="417"/>
      <c r="H54" s="113"/>
      <c r="I54" s="113"/>
      <c r="J54" s="113"/>
      <c r="K54" s="113"/>
      <c r="L54" s="113"/>
      <c r="M54" s="113"/>
      <c r="N54" s="113"/>
      <c r="O54" s="113"/>
      <c r="P54" s="20"/>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row>
    <row r="55" spans="1:46" ht="24" customHeight="1">
      <c r="A55" s="31"/>
      <c r="B55" s="426" t="s">
        <v>990</v>
      </c>
      <c r="C55" s="426"/>
      <c r="D55" s="429"/>
      <c r="E55" s="429"/>
      <c r="F55" s="417">
        <v>23</v>
      </c>
      <c r="G55" s="417"/>
      <c r="H55" s="113"/>
      <c r="I55" s="113"/>
      <c r="J55" s="113"/>
      <c r="K55" s="113"/>
      <c r="L55" s="113"/>
      <c r="M55" s="113"/>
      <c r="N55" s="113"/>
      <c r="O55" s="113"/>
      <c r="P55" s="20"/>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row>
    <row r="56" spans="1:46" ht="24" customHeight="1">
      <c r="A56" s="31"/>
      <c r="B56" s="426" t="s">
        <v>1477</v>
      </c>
      <c r="C56" s="426"/>
      <c r="D56" s="429"/>
      <c r="E56" s="429"/>
      <c r="F56" s="417">
        <v>0</v>
      </c>
      <c r="G56" s="417"/>
      <c r="H56" s="113"/>
      <c r="I56" s="113"/>
      <c r="J56" s="113"/>
      <c r="K56" s="113"/>
      <c r="L56" s="113"/>
      <c r="M56" s="113"/>
      <c r="N56" s="113"/>
      <c r="O56" s="113"/>
      <c r="P56" s="20"/>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row>
    <row r="57" spans="1:46">
      <c r="A57" s="32"/>
      <c r="B57" s="32"/>
      <c r="C57" s="22"/>
      <c r="D57" s="22"/>
      <c r="E57" s="22"/>
      <c r="F57" s="22"/>
      <c r="G57" s="22"/>
      <c r="H57" s="22"/>
      <c r="I57" s="22"/>
      <c r="J57" s="22"/>
      <c r="K57" s="22"/>
      <c r="L57" s="22"/>
      <c r="M57" s="22"/>
      <c r="N57" s="22"/>
      <c r="O57" s="22"/>
      <c r="P57" s="10"/>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row>
    <row r="58" spans="1:46">
      <c r="A58" s="32"/>
      <c r="B58" s="32"/>
      <c r="C58" s="22"/>
      <c r="D58" s="22"/>
      <c r="E58" s="22"/>
      <c r="F58" s="22"/>
      <c r="G58" s="22"/>
      <c r="H58" s="22"/>
      <c r="I58" s="22"/>
      <c r="J58" s="22"/>
      <c r="K58" s="22"/>
      <c r="L58" s="22"/>
      <c r="M58" s="22"/>
      <c r="N58" s="22"/>
      <c r="O58" s="22"/>
      <c r="P58" s="10"/>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row>
    <row r="59" spans="1:46">
      <c r="A59" s="32"/>
      <c r="B59" s="32"/>
      <c r="C59" s="22"/>
      <c r="D59" s="22"/>
      <c r="E59" s="22"/>
      <c r="F59" s="22"/>
      <c r="G59" s="22"/>
      <c r="H59" s="22"/>
      <c r="I59" s="22"/>
      <c r="J59" s="22"/>
      <c r="K59" s="22"/>
      <c r="L59" s="22"/>
      <c r="M59" s="22"/>
      <c r="N59" s="22"/>
      <c r="O59" s="22"/>
      <c r="P59" s="10"/>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row>
    <row r="60" spans="1:46">
      <c r="A60" s="32"/>
      <c r="B60" s="32"/>
      <c r="C60" s="22"/>
      <c r="D60" s="22"/>
      <c r="E60" s="22"/>
      <c r="F60" s="22"/>
      <c r="G60" s="22"/>
      <c r="H60" s="22"/>
      <c r="I60" s="22"/>
      <c r="J60" s="22"/>
      <c r="K60" s="22"/>
      <c r="L60" s="22"/>
      <c r="M60" s="22"/>
      <c r="N60" s="22"/>
      <c r="O60" s="22"/>
      <c r="P60" s="10"/>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row>
    <row r="61" spans="1:46">
      <c r="A61" s="32"/>
      <c r="B61" s="32"/>
      <c r="C61" s="22"/>
      <c r="D61" s="22"/>
      <c r="E61" s="22"/>
      <c r="F61" s="22"/>
      <c r="G61" s="22"/>
      <c r="H61" s="22"/>
      <c r="I61" s="22"/>
      <c r="J61" s="22"/>
      <c r="K61" s="22"/>
      <c r="L61" s="22"/>
      <c r="M61" s="22"/>
      <c r="N61" s="22"/>
      <c r="O61" s="22"/>
      <c r="P61" s="10"/>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row>
    <row r="62" spans="1:46">
      <c r="A62" s="32"/>
      <c r="B62" s="32"/>
      <c r="C62" s="22"/>
      <c r="D62" s="22"/>
      <c r="E62" s="22"/>
      <c r="F62" s="22"/>
      <c r="G62" s="22"/>
      <c r="H62" s="22"/>
      <c r="I62" s="22"/>
      <c r="J62" s="22"/>
      <c r="K62" s="22"/>
      <c r="L62" s="22"/>
      <c r="M62" s="22"/>
      <c r="N62" s="22"/>
      <c r="O62" s="22"/>
      <c r="P62" s="10"/>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row>
    <row r="63" spans="1:46">
      <c r="A63" s="32"/>
      <c r="B63" s="32"/>
      <c r="C63" s="22"/>
      <c r="D63" s="22"/>
      <c r="E63" s="22"/>
      <c r="F63" s="22"/>
      <c r="G63" s="22"/>
      <c r="H63" s="22"/>
      <c r="I63" s="22"/>
      <c r="J63" s="22"/>
      <c r="K63" s="22"/>
      <c r="L63" s="22"/>
      <c r="M63" s="22"/>
      <c r="N63" s="22"/>
      <c r="O63" s="22"/>
      <c r="P63" s="10"/>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row>
    <row r="64" spans="1:46">
      <c r="A64" s="32"/>
      <c r="B64" s="32"/>
      <c r="C64" s="22"/>
      <c r="D64" s="22"/>
      <c r="E64" s="22"/>
      <c r="F64" s="22"/>
      <c r="G64" s="22"/>
      <c r="H64" s="22"/>
      <c r="I64" s="22"/>
      <c r="J64" s="22"/>
      <c r="K64" s="22"/>
      <c r="L64" s="22"/>
      <c r="M64" s="22"/>
      <c r="N64" s="22"/>
      <c r="O64" s="22"/>
      <c r="P64" s="10"/>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row>
    <row r="65" spans="1:46">
      <c r="A65" s="32"/>
      <c r="B65" s="32"/>
      <c r="C65" s="22"/>
      <c r="D65" s="22"/>
      <c r="E65" s="22"/>
      <c r="F65" s="22"/>
      <c r="G65" s="22"/>
      <c r="H65" s="22"/>
      <c r="I65" s="22"/>
      <c r="J65" s="22"/>
      <c r="K65" s="22"/>
      <c r="L65" s="22"/>
      <c r="M65" s="22"/>
      <c r="N65" s="22"/>
      <c r="O65" s="22"/>
      <c r="P65" s="10"/>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row>
    <row r="66" spans="1:46">
      <c r="A66" s="32"/>
      <c r="B66" s="32"/>
      <c r="C66" s="22"/>
      <c r="D66" s="22"/>
      <c r="E66" s="22"/>
      <c r="F66" s="22"/>
      <c r="G66" s="22"/>
      <c r="H66" s="22"/>
      <c r="I66" s="22"/>
      <c r="J66" s="22"/>
      <c r="K66" s="22"/>
      <c r="L66" s="22"/>
      <c r="M66" s="22"/>
      <c r="N66" s="22"/>
      <c r="O66" s="22"/>
      <c r="P66" s="10"/>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row>
    <row r="67" spans="1:46">
      <c r="A67" s="32"/>
      <c r="B67" s="32"/>
      <c r="C67" s="22"/>
      <c r="D67" s="22"/>
      <c r="E67" s="22"/>
      <c r="F67" s="22"/>
      <c r="G67" s="22"/>
      <c r="H67" s="22"/>
      <c r="I67" s="22"/>
      <c r="J67" s="22"/>
      <c r="K67" s="22"/>
      <c r="L67" s="22"/>
      <c r="M67" s="22"/>
      <c r="N67" s="22"/>
      <c r="O67" s="22"/>
      <c r="P67" s="10"/>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row>
    <row r="68" spans="1:46">
      <c r="A68" s="32"/>
      <c r="B68" s="32"/>
      <c r="C68" s="22"/>
      <c r="D68" s="22"/>
      <c r="E68" s="22"/>
      <c r="F68" s="22"/>
      <c r="G68" s="22"/>
      <c r="H68" s="22"/>
      <c r="I68" s="22"/>
      <c r="J68" s="22"/>
      <c r="K68" s="22"/>
      <c r="L68" s="22"/>
      <c r="M68" s="22"/>
      <c r="N68" s="22"/>
      <c r="O68" s="22"/>
      <c r="P68" s="10"/>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row>
    <row r="69" spans="1:46">
      <c r="A69" s="32"/>
      <c r="B69" s="32"/>
      <c r="C69" s="22"/>
      <c r="D69" s="22"/>
      <c r="E69" s="22"/>
      <c r="F69" s="22"/>
      <c r="G69" s="22"/>
      <c r="H69" s="22"/>
      <c r="I69" s="22"/>
      <c r="J69" s="22"/>
      <c r="K69" s="22"/>
      <c r="L69" s="22"/>
      <c r="M69" s="22"/>
      <c r="N69" s="22"/>
      <c r="O69" s="22"/>
      <c r="P69" s="10"/>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row>
    <row r="70" spans="1:46">
      <c r="A70" s="32"/>
      <c r="B70" s="32"/>
      <c r="C70" s="22"/>
      <c r="D70" s="22"/>
      <c r="E70" s="22"/>
      <c r="F70" s="22"/>
      <c r="G70" s="22"/>
      <c r="H70" s="22"/>
      <c r="I70" s="22"/>
      <c r="J70" s="22"/>
      <c r="K70" s="22"/>
      <c r="L70" s="22"/>
      <c r="M70" s="22"/>
      <c r="N70" s="22"/>
      <c r="O70" s="22"/>
      <c r="P70" s="10"/>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row>
    <row r="71" spans="1:46">
      <c r="A71" s="32"/>
      <c r="B71" s="32"/>
      <c r="C71" s="22"/>
      <c r="D71" s="22"/>
      <c r="E71" s="22"/>
      <c r="F71" s="22"/>
      <c r="G71" s="22"/>
      <c r="H71" s="22"/>
      <c r="I71" s="22"/>
      <c r="J71" s="22"/>
      <c r="K71" s="22"/>
      <c r="L71" s="22"/>
      <c r="M71" s="22"/>
      <c r="N71" s="22"/>
      <c r="O71" s="22"/>
      <c r="P71" s="10"/>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row>
    <row r="72" spans="1:46">
      <c r="A72" s="32"/>
      <c r="B72" s="32"/>
      <c r="C72" s="22"/>
      <c r="D72" s="22"/>
      <c r="E72" s="22"/>
      <c r="F72" s="22"/>
      <c r="G72" s="22"/>
      <c r="H72" s="22"/>
      <c r="I72" s="22"/>
      <c r="J72" s="22"/>
      <c r="K72" s="22"/>
      <c r="L72" s="22"/>
      <c r="M72" s="22"/>
      <c r="N72" s="22"/>
      <c r="O72" s="22"/>
      <c r="P72" s="10"/>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row>
    <row r="73" spans="1:46">
      <c r="A73" s="32"/>
      <c r="B73" s="32"/>
      <c r="C73" s="22"/>
      <c r="D73" s="22"/>
      <c r="E73" s="22"/>
      <c r="F73" s="22"/>
      <c r="G73" s="22"/>
      <c r="H73" s="22"/>
      <c r="I73" s="22"/>
      <c r="J73" s="22"/>
      <c r="K73" s="22"/>
      <c r="L73" s="22"/>
      <c r="M73" s="22"/>
      <c r="N73" s="22"/>
      <c r="O73" s="22"/>
      <c r="P73" s="10"/>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row>
    <row r="74" spans="1:46">
      <c r="A74" s="32"/>
      <c r="B74" s="32"/>
      <c r="C74" s="22"/>
      <c r="D74" s="22"/>
      <c r="E74" s="22"/>
      <c r="F74" s="22"/>
      <c r="G74" s="22"/>
      <c r="H74" s="22"/>
      <c r="I74" s="22"/>
      <c r="J74" s="22"/>
      <c r="K74" s="22"/>
      <c r="L74" s="22"/>
      <c r="M74" s="22"/>
      <c r="N74" s="22"/>
      <c r="O74" s="22"/>
      <c r="P74" s="10"/>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row>
    <row r="75" spans="1:46">
      <c r="A75" s="32"/>
      <c r="B75" s="32"/>
      <c r="C75" s="22"/>
      <c r="D75" s="22"/>
      <c r="E75" s="22"/>
      <c r="F75" s="22"/>
      <c r="G75" s="22"/>
      <c r="H75" s="22"/>
      <c r="I75" s="22"/>
      <c r="J75" s="22"/>
      <c r="K75" s="22"/>
      <c r="L75" s="22"/>
      <c r="M75" s="22"/>
      <c r="N75" s="22"/>
      <c r="O75" s="22"/>
      <c r="P75" s="10"/>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row>
    <row r="76" spans="1:46">
      <c r="A76" s="32"/>
      <c r="B76" s="32"/>
      <c r="C76" s="22"/>
      <c r="D76" s="22"/>
      <c r="E76" s="22"/>
      <c r="F76" s="22"/>
      <c r="G76" s="22"/>
      <c r="H76" s="22"/>
      <c r="I76" s="22"/>
      <c r="J76" s="22"/>
      <c r="K76" s="22"/>
      <c r="L76" s="22"/>
      <c r="M76" s="22"/>
      <c r="N76" s="22"/>
      <c r="O76" s="22"/>
      <c r="P76" s="10"/>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row>
    <row r="77" spans="1:46">
      <c r="A77" s="32"/>
      <c r="B77" s="32"/>
      <c r="C77" s="22"/>
      <c r="D77" s="22"/>
      <c r="E77" s="22"/>
      <c r="F77" s="22"/>
      <c r="G77" s="22"/>
      <c r="H77" s="22"/>
      <c r="I77" s="22"/>
      <c r="J77" s="22"/>
      <c r="K77" s="22"/>
      <c r="L77" s="22"/>
      <c r="M77" s="22"/>
      <c r="N77" s="22"/>
      <c r="O77" s="22"/>
      <c r="P77" s="10"/>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row>
    <row r="78" spans="1:46">
      <c r="A78" s="32"/>
      <c r="B78" s="32"/>
      <c r="C78" s="22"/>
      <c r="D78" s="22"/>
      <c r="E78" s="22"/>
      <c r="F78" s="22"/>
      <c r="G78" s="22"/>
      <c r="H78" s="22"/>
      <c r="I78" s="22"/>
      <c r="J78" s="22"/>
      <c r="K78" s="22"/>
      <c r="L78" s="22"/>
      <c r="M78" s="22"/>
      <c r="N78" s="22"/>
      <c r="O78" s="22"/>
      <c r="P78" s="10"/>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row>
    <row r="79" spans="1:46">
      <c r="A79" s="32"/>
      <c r="B79" s="32"/>
      <c r="C79" s="22"/>
      <c r="D79" s="22"/>
      <c r="E79" s="22"/>
      <c r="F79" s="22"/>
      <c r="G79" s="22"/>
      <c r="H79" s="22"/>
      <c r="I79" s="22"/>
      <c r="J79" s="22"/>
      <c r="K79" s="22"/>
      <c r="L79" s="22"/>
      <c r="M79" s="22"/>
      <c r="N79" s="22"/>
      <c r="O79" s="22"/>
      <c r="P79" s="10"/>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row>
    <row r="80" spans="1:46">
      <c r="A80" s="32"/>
      <c r="B80" s="32"/>
      <c r="C80" s="22"/>
      <c r="D80" s="22"/>
      <c r="E80" s="22"/>
      <c r="F80" s="22"/>
      <c r="G80" s="22"/>
      <c r="H80" s="22"/>
      <c r="I80" s="22"/>
      <c r="J80" s="22"/>
      <c r="K80" s="22"/>
      <c r="L80" s="22"/>
      <c r="M80" s="22"/>
      <c r="N80" s="22"/>
      <c r="O80" s="22"/>
      <c r="P80" s="10"/>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row>
    <row r="81" spans="1:46">
      <c r="A81" s="32"/>
      <c r="B81" s="32"/>
      <c r="C81" s="22"/>
      <c r="D81" s="22"/>
      <c r="E81" s="22"/>
      <c r="F81" s="22"/>
      <c r="G81" s="22"/>
      <c r="H81" s="22"/>
      <c r="I81" s="22"/>
      <c r="J81" s="22"/>
      <c r="K81" s="22"/>
      <c r="L81" s="22"/>
      <c r="M81" s="22"/>
      <c r="N81" s="22"/>
      <c r="O81" s="22"/>
      <c r="P81" s="10"/>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row>
    <row r="82" spans="1:46">
      <c r="A82" s="32"/>
      <c r="B82" s="32"/>
      <c r="C82" s="22"/>
      <c r="D82" s="22"/>
      <c r="E82" s="22"/>
      <c r="F82" s="22"/>
      <c r="G82" s="22"/>
      <c r="H82" s="22"/>
      <c r="I82" s="22"/>
      <c r="J82" s="22"/>
      <c r="K82" s="22"/>
      <c r="L82" s="22"/>
      <c r="M82" s="22"/>
      <c r="N82" s="22"/>
      <c r="O82" s="22"/>
      <c r="P82" s="10"/>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row>
    <row r="83" spans="1:46">
      <c r="A83" s="32"/>
      <c r="B83" s="32"/>
      <c r="C83" s="22"/>
      <c r="D83" s="22"/>
      <c r="E83" s="22"/>
      <c r="F83" s="22"/>
      <c r="G83" s="22"/>
      <c r="H83" s="22"/>
      <c r="I83" s="22"/>
      <c r="J83" s="22"/>
      <c r="K83" s="22"/>
      <c r="L83" s="22"/>
      <c r="M83" s="22"/>
      <c r="N83" s="22"/>
      <c r="O83" s="22"/>
      <c r="P83" s="10"/>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row>
    <row r="84" spans="1:46">
      <c r="A84" s="32"/>
      <c r="B84" s="32"/>
      <c r="C84" s="22"/>
      <c r="D84" s="22"/>
      <c r="E84" s="22"/>
      <c r="F84" s="22"/>
      <c r="G84" s="22"/>
      <c r="H84" s="22"/>
      <c r="I84" s="22"/>
      <c r="J84" s="22"/>
      <c r="K84" s="22"/>
      <c r="L84" s="22"/>
      <c r="M84" s="22"/>
      <c r="N84" s="22"/>
      <c r="O84" s="22"/>
      <c r="P84" s="10"/>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row>
    <row r="85" spans="1:46">
      <c r="A85" s="32"/>
      <c r="B85" s="32"/>
      <c r="C85" s="22"/>
      <c r="D85" s="22"/>
      <c r="E85" s="22"/>
      <c r="F85" s="22"/>
      <c r="G85" s="22"/>
      <c r="H85" s="22"/>
      <c r="I85" s="22"/>
      <c r="J85" s="22"/>
      <c r="K85" s="22"/>
      <c r="L85" s="22"/>
      <c r="M85" s="22"/>
      <c r="N85" s="22"/>
      <c r="O85" s="22"/>
      <c r="P85" s="10"/>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row>
    <row r="86" spans="1:46">
      <c r="A86" s="32"/>
      <c r="B86" s="32"/>
      <c r="C86" s="22"/>
      <c r="D86" s="22"/>
      <c r="E86" s="22"/>
      <c r="F86" s="22"/>
      <c r="G86" s="22"/>
      <c r="H86" s="22"/>
      <c r="I86" s="22"/>
      <c r="J86" s="22"/>
      <c r="K86" s="22"/>
      <c r="L86" s="22"/>
      <c r="M86" s="22"/>
      <c r="N86" s="22"/>
      <c r="O86" s="22"/>
      <c r="P86" s="10"/>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row>
  </sheetData>
  <sheetProtection algorithmName="SHA-512" hashValue="l717B7RrE6cmmBL9jgfWt8VHAhjbF46cnyKPVdSotJTVDITuR5ifeLlL5aVbNTJiXlVsURGNcZP9SfTpoeWffw==" saltValue="JtScxXSomlp6y4itXBZxig==" spinCount="100000" sheet="1" formatCells="0" formatColumns="0" formatRows="0" sort="0"/>
  <mergeCells count="85">
    <mergeCell ref="D56:E56"/>
    <mergeCell ref="F56:G56"/>
    <mergeCell ref="B51:C51"/>
    <mergeCell ref="D51:E51"/>
    <mergeCell ref="B52:C52"/>
    <mergeCell ref="D52:E52"/>
    <mergeCell ref="B53:C53"/>
    <mergeCell ref="D53:E53"/>
    <mergeCell ref="B54:C54"/>
    <mergeCell ref="D54:E54"/>
    <mergeCell ref="F54:G54"/>
    <mergeCell ref="F53:G53"/>
    <mergeCell ref="B55:C55"/>
    <mergeCell ref="D55:E55"/>
    <mergeCell ref="F55:G55"/>
    <mergeCell ref="B56:C56"/>
    <mergeCell ref="B48:C48"/>
    <mergeCell ref="D48:E48"/>
    <mergeCell ref="B49:C49"/>
    <mergeCell ref="D49:E49"/>
    <mergeCell ref="B50:C50"/>
    <mergeCell ref="D50:E50"/>
    <mergeCell ref="B45:C45"/>
    <mergeCell ref="D45:E45"/>
    <mergeCell ref="B46:C46"/>
    <mergeCell ref="D46:E46"/>
    <mergeCell ref="B47:C47"/>
    <mergeCell ref="D47:E47"/>
    <mergeCell ref="B42:C42"/>
    <mergeCell ref="D42:E42"/>
    <mergeCell ref="B43:C43"/>
    <mergeCell ref="D43:E43"/>
    <mergeCell ref="B44:C44"/>
    <mergeCell ref="D44:E44"/>
    <mergeCell ref="B36:D36"/>
    <mergeCell ref="B37:D37"/>
    <mergeCell ref="B40:C40"/>
    <mergeCell ref="D40:E40"/>
    <mergeCell ref="B41:C41"/>
    <mergeCell ref="D41:E41"/>
    <mergeCell ref="B39:F39"/>
    <mergeCell ref="F41:G41"/>
    <mergeCell ref="F40:G40"/>
    <mergeCell ref="B32:E32"/>
    <mergeCell ref="F32:H32"/>
    <mergeCell ref="A35:P35"/>
    <mergeCell ref="A33:P33"/>
    <mergeCell ref="A34:P34"/>
    <mergeCell ref="B31:E31"/>
    <mergeCell ref="F31:H31"/>
    <mergeCell ref="A29:P29"/>
    <mergeCell ref="B30:E30"/>
    <mergeCell ref="A1:P1"/>
    <mergeCell ref="A3:P3"/>
    <mergeCell ref="A4:P4"/>
    <mergeCell ref="B5:H5"/>
    <mergeCell ref="A20:P20"/>
    <mergeCell ref="A21:P21"/>
    <mergeCell ref="B23:E23"/>
    <mergeCell ref="F23:H23"/>
    <mergeCell ref="B24:E24"/>
    <mergeCell ref="F24:H24"/>
    <mergeCell ref="B27:E27"/>
    <mergeCell ref="F27:H27"/>
    <mergeCell ref="B22:E22"/>
    <mergeCell ref="F22:H22"/>
    <mergeCell ref="B25:E25"/>
    <mergeCell ref="F25:H25"/>
    <mergeCell ref="F52:G52"/>
    <mergeCell ref="F42:G42"/>
    <mergeCell ref="F43:G43"/>
    <mergeCell ref="F44:G44"/>
    <mergeCell ref="F45:G45"/>
    <mergeCell ref="F46:G46"/>
    <mergeCell ref="F47:G47"/>
    <mergeCell ref="B28:E28"/>
    <mergeCell ref="F28:H28"/>
    <mergeCell ref="F30:H30"/>
    <mergeCell ref="B26:E26"/>
    <mergeCell ref="F26:H26"/>
    <mergeCell ref="I48:J48"/>
    <mergeCell ref="F48:G48"/>
    <mergeCell ref="F49:G49"/>
    <mergeCell ref="F50:G50"/>
    <mergeCell ref="F51:G51"/>
  </mergeCells>
  <phoneticPr fontId="17" type="noConversion"/>
  <conditionalFormatting sqref="D48:E48">
    <cfRule type="cellIs" dxfId="88" priority="2" operator="greaterThan">
      <formula>0</formula>
    </cfRule>
  </conditionalFormatting>
  <conditionalFormatting sqref="F48:G48">
    <cfRule type="cellIs" dxfId="87" priority="1" operator="greaterThan">
      <formula>0</formula>
    </cfRule>
  </conditionalFormatting>
  <dataValidations xWindow="403" yWindow="519" count="3">
    <dataValidation type="list" allowBlank="1" showInputMessage="1" showErrorMessage="1" prompt="Please select" sqref="C7:C18" xr:uid="{00000000-0002-0000-0A00-000000000000}">
      <formula1>Significance_Business_Partner</formula1>
    </dataValidation>
    <dataValidation type="whole" allowBlank="1" showInputMessage="1" showErrorMessage="1" prompt="Total number of workers" sqref="E36:E37" xr:uid="{00000000-0002-0000-0A00-000001000000}">
      <formula1>0</formula1>
      <formula2>999999</formula2>
    </dataValidation>
    <dataValidation type="whole" allowBlank="1" showInputMessage="1" showErrorMessage="1" prompt="Enter a whole number only" sqref="F53:G54 D41:D52 E50:E52 E41:E48 F41:F52 G41:G48 G50:G52" xr:uid="{00000000-0002-0000-0A00-000002000000}">
      <formula1>0</formula1>
      <formula2>99999</formula2>
    </dataValidation>
  </dataValidations>
  <pageMargins left="0.25" right="0.25" top="0.75" bottom="0.75" header="0.3" footer="0.3"/>
  <pageSetup paperSize="8" scale="38" fitToHeight="0" orientation="landscape" r:id="rId1"/>
  <ignoredErrors>
    <ignoredError sqref="H43"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tabColor theme="6"/>
  </sheetPr>
  <dimension ref="A1:I45"/>
  <sheetViews>
    <sheetView showGridLines="0" topLeftCell="A20" zoomScaleNormal="100" workbookViewId="0">
      <selection activeCell="D15" sqref="D15"/>
    </sheetView>
  </sheetViews>
  <sheetFormatPr defaultRowHeight="24.75" customHeight="1"/>
  <cols>
    <col min="1" max="1" width="2.36328125" customWidth="1"/>
    <col min="2" max="2" width="37.90625" style="4" customWidth="1"/>
    <col min="3" max="3" width="25.26953125" style="4" customWidth="1"/>
    <col min="4" max="4" width="23.36328125" style="4" customWidth="1"/>
    <col min="5" max="5" width="24" style="4" customWidth="1"/>
    <col min="6" max="6" width="24.7265625" customWidth="1"/>
    <col min="7" max="7" width="2.7265625" style="14" customWidth="1"/>
  </cols>
  <sheetData>
    <row r="1" spans="1:9" ht="36" customHeight="1">
      <c r="A1" s="358" t="s">
        <v>602</v>
      </c>
      <c r="B1" s="358"/>
      <c r="C1" s="358"/>
      <c r="D1" s="358"/>
      <c r="E1" s="358"/>
      <c r="F1" s="358"/>
      <c r="G1" s="358"/>
      <c r="H1" s="9"/>
      <c r="I1" s="9"/>
    </row>
    <row r="2" spans="1:9" ht="15" customHeight="1">
      <c r="A2" s="20"/>
      <c r="B2" s="31"/>
      <c r="C2" s="31"/>
      <c r="D2" s="31"/>
      <c r="E2" s="31"/>
      <c r="F2" s="20"/>
      <c r="G2" s="244"/>
      <c r="H2" s="27"/>
      <c r="I2" s="27"/>
    </row>
    <row r="3" spans="1:9" ht="38.25" customHeight="1">
      <c r="A3" s="20"/>
      <c r="B3" s="86" t="s">
        <v>687</v>
      </c>
      <c r="C3" s="85" t="s">
        <v>675</v>
      </c>
      <c r="D3" s="91" t="s">
        <v>702</v>
      </c>
      <c r="E3"/>
      <c r="H3" s="27"/>
      <c r="I3" s="27"/>
    </row>
    <row r="4" spans="1:9" ht="33.75" customHeight="1">
      <c r="A4" s="20"/>
      <c r="B4" s="85" t="s">
        <v>686</v>
      </c>
      <c r="C4" s="85">
        <f>uniform!C27</f>
        <v>6</v>
      </c>
      <c r="D4" s="147">
        <f>C4/'DE Employment Structure'!E36</f>
        <v>0.15384615384615385</v>
      </c>
      <c r="E4"/>
      <c r="H4" s="27"/>
      <c r="I4" s="27"/>
    </row>
    <row r="5" spans="1:9" ht="16.5" customHeight="1">
      <c r="A5" s="20"/>
      <c r="B5" s="82"/>
      <c r="C5" s="81"/>
      <c r="D5" s="81"/>
      <c r="E5" s="90"/>
      <c r="F5" s="90"/>
      <c r="G5" s="244"/>
      <c r="H5" s="27"/>
      <c r="I5" s="27"/>
    </row>
    <row r="6" spans="1:9" ht="42" customHeight="1">
      <c r="A6" s="77"/>
      <c r="B6" s="91" t="s">
        <v>97</v>
      </c>
      <c r="C6" s="91" t="s">
        <v>98</v>
      </c>
      <c r="D6" s="91" t="s">
        <v>99</v>
      </c>
      <c r="E6" s="431" t="s">
        <v>862</v>
      </c>
      <c r="F6" s="427"/>
      <c r="G6" s="427"/>
      <c r="H6" s="427"/>
      <c r="I6" s="427"/>
    </row>
    <row r="7" spans="1:9" ht="30" customHeight="1">
      <c r="A7" s="77"/>
      <c r="B7" s="63" t="s">
        <v>260</v>
      </c>
      <c r="C7" s="145">
        <v>0</v>
      </c>
      <c r="D7" s="145">
        <v>0</v>
      </c>
      <c r="E7" s="92"/>
      <c r="F7" s="77"/>
      <c r="H7" s="9"/>
      <c r="I7" s="9"/>
    </row>
    <row r="8" spans="1:9" ht="30" customHeight="1">
      <c r="A8" s="77"/>
      <c r="B8" s="63" t="s">
        <v>101</v>
      </c>
      <c r="C8" s="143">
        <v>0</v>
      </c>
      <c r="D8" s="143">
        <v>0</v>
      </c>
      <c r="E8" s="92"/>
      <c r="F8" s="77"/>
      <c r="H8" s="9"/>
      <c r="I8" s="9"/>
    </row>
    <row r="9" spans="1:9" ht="30" customHeight="1">
      <c r="A9" s="77"/>
      <c r="B9" s="63" t="s">
        <v>102</v>
      </c>
      <c r="C9" s="143">
        <v>0</v>
      </c>
      <c r="D9" s="143">
        <v>0</v>
      </c>
      <c r="E9" s="92"/>
      <c r="F9" s="77"/>
      <c r="H9" s="9"/>
      <c r="I9" s="9"/>
    </row>
    <row r="10" spans="1:9" ht="30" customHeight="1">
      <c r="A10" s="77"/>
      <c r="B10" s="63" t="s">
        <v>589</v>
      </c>
      <c r="C10" s="143">
        <v>2</v>
      </c>
      <c r="D10" s="148">
        <f>C4-C10</f>
        <v>4</v>
      </c>
      <c r="E10" s="241" t="str">
        <f>IF(SUM(C10:D10)&lt;&gt;C4,"False!","")</f>
        <v/>
      </c>
      <c r="F10" s="77"/>
      <c r="H10" s="9"/>
      <c r="I10" s="9"/>
    </row>
    <row r="11" spans="1:9" ht="30" customHeight="1">
      <c r="A11" s="77"/>
      <c r="B11" s="63" t="s">
        <v>590</v>
      </c>
      <c r="C11" s="143">
        <v>0</v>
      </c>
      <c r="D11" s="143">
        <v>0</v>
      </c>
      <c r="E11" s="92"/>
      <c r="F11" s="77"/>
      <c r="H11" s="9"/>
      <c r="I11" s="9"/>
    </row>
    <row r="12" spans="1:9" ht="30" customHeight="1">
      <c r="A12" s="77"/>
      <c r="B12" s="63" t="s">
        <v>103</v>
      </c>
      <c r="C12" s="143">
        <v>0</v>
      </c>
      <c r="D12" s="143">
        <v>0</v>
      </c>
      <c r="E12" s="92"/>
      <c r="F12" s="77"/>
      <c r="H12" s="9"/>
      <c r="I12" s="9"/>
    </row>
    <row r="13" spans="1:9" ht="30" customHeight="1">
      <c r="A13" s="77"/>
      <c r="B13" s="63" t="s">
        <v>591</v>
      </c>
      <c r="C13" s="143">
        <v>2</v>
      </c>
      <c r="D13" s="143">
        <v>3</v>
      </c>
      <c r="E13" s="241" t="str">
        <f>IF(OR(C13&gt;C10,D13&gt;D10),"False!","")</f>
        <v/>
      </c>
      <c r="F13" s="77"/>
      <c r="H13" s="9"/>
      <c r="I13" s="9"/>
    </row>
    <row r="14" spans="1:9" ht="32.25" customHeight="1">
      <c r="A14" s="77"/>
      <c r="B14" s="63" t="s">
        <v>592</v>
      </c>
      <c r="C14" s="143">
        <v>0</v>
      </c>
      <c r="D14" s="143">
        <v>0</v>
      </c>
      <c r="E14" s="92"/>
      <c r="F14" s="77"/>
      <c r="H14" s="9"/>
      <c r="I14" s="9"/>
    </row>
    <row r="15" spans="1:9" ht="30" customHeight="1">
      <c r="A15" s="78"/>
      <c r="B15" s="63" t="s">
        <v>104</v>
      </c>
      <c r="C15" s="142"/>
      <c r="D15" s="143">
        <v>0</v>
      </c>
      <c r="E15" s="79"/>
      <c r="F15" s="78"/>
      <c r="H15" s="9"/>
      <c r="I15" s="9"/>
    </row>
    <row r="16" spans="1:9" ht="30" customHeight="1">
      <c r="A16" s="77"/>
      <c r="B16" s="83" t="s">
        <v>863</v>
      </c>
      <c r="C16" s="148">
        <f>C10+C11+C12</f>
        <v>2</v>
      </c>
      <c r="D16" s="148">
        <f>D10+D11+D12</f>
        <v>4</v>
      </c>
      <c r="E16" s="30"/>
      <c r="F16" s="77"/>
      <c r="H16" s="9"/>
      <c r="I16" s="9"/>
    </row>
    <row r="18" spans="2:7" ht="26.25" customHeight="1">
      <c r="B18" s="438"/>
      <c r="C18" s="438"/>
      <c r="D18" s="438"/>
      <c r="E18" s="438"/>
      <c r="F18" s="78"/>
    </row>
    <row r="19" spans="2:7" ht="30" customHeight="1">
      <c r="B19" s="83" t="s">
        <v>599</v>
      </c>
      <c r="C19" s="83" t="s">
        <v>0</v>
      </c>
      <c r="D19" s="74"/>
      <c r="E19" s="83" t="s">
        <v>258</v>
      </c>
      <c r="F19" s="83" t="s">
        <v>41</v>
      </c>
    </row>
    <row r="20" spans="2:7" ht="44.25" customHeight="1">
      <c r="B20" s="63" t="s">
        <v>106</v>
      </c>
      <c r="C20" s="83">
        <f>uniform!C27</f>
        <v>6</v>
      </c>
      <c r="D20" s="62"/>
      <c r="E20" s="439" t="s">
        <v>732</v>
      </c>
      <c r="F20" s="435" t="s">
        <v>981</v>
      </c>
    </row>
    <row r="21" spans="2:7" ht="30" customHeight="1">
      <c r="B21" s="63" t="s">
        <v>105</v>
      </c>
      <c r="C21" s="83">
        <v>0</v>
      </c>
      <c r="D21" s="62"/>
      <c r="E21" s="440"/>
      <c r="F21" s="436"/>
    </row>
    <row r="22" spans="2:7" ht="30" customHeight="1">
      <c r="B22" s="63" t="s">
        <v>600</v>
      </c>
      <c r="C22" s="83">
        <f>ROUND(C20/2,0)</f>
        <v>3</v>
      </c>
      <c r="D22" s="62"/>
      <c r="E22" s="437" t="s">
        <v>259</v>
      </c>
      <c r="F22" s="435" t="s">
        <v>982</v>
      </c>
    </row>
    <row r="23" spans="2:7" ht="30" customHeight="1">
      <c r="B23" s="63" t="s">
        <v>601</v>
      </c>
      <c r="C23" s="83">
        <f>C20-C22</f>
        <v>3</v>
      </c>
      <c r="D23" s="62"/>
      <c r="E23" s="437"/>
      <c r="F23" s="436"/>
    </row>
    <row r="24" spans="2:7" ht="15" customHeight="1">
      <c r="B24" s="30"/>
      <c r="C24" s="74"/>
      <c r="D24" s="74"/>
      <c r="E24" s="74"/>
      <c r="F24" s="73"/>
    </row>
    <row r="25" spans="2:7" ht="30" customHeight="1">
      <c r="B25" s="61"/>
      <c r="C25" s="434" t="s">
        <v>88</v>
      </c>
      <c r="D25" s="434"/>
      <c r="E25" s="79"/>
      <c r="F25" s="78"/>
    </row>
    <row r="26" spans="2:7" ht="30" customHeight="1">
      <c r="B26" s="93" t="s">
        <v>261</v>
      </c>
      <c r="C26" s="432">
        <f>uniform!H16</f>
        <v>0</v>
      </c>
      <c r="D26" s="433"/>
      <c r="E26" s="75"/>
      <c r="F26" s="78"/>
    </row>
    <row r="27" spans="2:7" ht="39" customHeight="1">
      <c r="B27" s="93" t="s">
        <v>588</v>
      </c>
      <c r="C27" s="432" t="s">
        <v>666</v>
      </c>
      <c r="D27" s="433"/>
      <c r="E27" s="75"/>
      <c r="F27" s="78"/>
    </row>
    <row r="28" spans="2:7" ht="40.5" customHeight="1">
      <c r="B28" s="93" t="s">
        <v>593</v>
      </c>
      <c r="C28" s="344" t="e">
        <f>'Pre Audit Dos'!#REF!</f>
        <v>#REF!</v>
      </c>
      <c r="D28" s="344"/>
      <c r="E28" s="75"/>
      <c r="F28" s="78"/>
    </row>
    <row r="29" spans="2:7" ht="18.75" customHeight="1">
      <c r="B29" s="99"/>
      <c r="C29" s="62"/>
      <c r="D29" s="62"/>
      <c r="E29" s="75"/>
      <c r="F29" s="78"/>
    </row>
    <row r="30" spans="2:7" ht="30" customHeight="1">
      <c r="B30" s="83" t="s">
        <v>864</v>
      </c>
      <c r="C30" s="434" t="s">
        <v>109</v>
      </c>
      <c r="D30" s="434"/>
      <c r="E30" s="434"/>
      <c r="F30" s="434"/>
    </row>
    <row r="31" spans="2:7" ht="47.25" customHeight="1">
      <c r="B31" s="148"/>
      <c r="C31" s="430"/>
      <c r="D31" s="430"/>
      <c r="E31" s="430"/>
      <c r="F31" s="430"/>
      <c r="G31" s="14">
        <v>1</v>
      </c>
    </row>
    <row r="32" spans="2:7" ht="47.25" customHeight="1">
      <c r="B32" s="148"/>
      <c r="C32" s="430"/>
      <c r="D32" s="430"/>
      <c r="E32" s="430"/>
      <c r="F32" s="430"/>
      <c r="G32" s="14">
        <v>2</v>
      </c>
    </row>
    <row r="33" spans="2:7" ht="47.25" customHeight="1">
      <c r="B33" s="148"/>
      <c r="C33" s="430"/>
      <c r="D33" s="430"/>
      <c r="E33" s="430"/>
      <c r="F33" s="430"/>
      <c r="G33" s="14">
        <v>3</v>
      </c>
    </row>
    <row r="34" spans="2:7" ht="47.25" customHeight="1">
      <c r="B34" s="148"/>
      <c r="C34" s="430"/>
      <c r="D34" s="430"/>
      <c r="E34" s="430"/>
      <c r="F34" s="430"/>
      <c r="G34" s="14">
        <v>4</v>
      </c>
    </row>
    <row r="35" spans="2:7" ht="47.25" customHeight="1">
      <c r="B35" s="148"/>
      <c r="C35" s="430"/>
      <c r="D35" s="430"/>
      <c r="E35" s="430"/>
      <c r="F35" s="430"/>
      <c r="G35" s="14">
        <v>5</v>
      </c>
    </row>
    <row r="36" spans="2:7" ht="47.25" customHeight="1">
      <c r="B36" s="148"/>
      <c r="C36" s="430"/>
      <c r="D36" s="430"/>
      <c r="E36" s="430"/>
      <c r="F36" s="430"/>
      <c r="G36" s="14">
        <v>6</v>
      </c>
    </row>
    <row r="37" spans="2:7" ht="47.25" customHeight="1">
      <c r="B37" s="148"/>
      <c r="C37" s="430"/>
      <c r="D37" s="430"/>
      <c r="E37" s="430"/>
      <c r="F37" s="430"/>
      <c r="G37" s="14">
        <v>7</v>
      </c>
    </row>
    <row r="38" spans="2:7" ht="47.25" customHeight="1">
      <c r="B38" s="148"/>
      <c r="C38" s="430"/>
      <c r="D38" s="430"/>
      <c r="E38" s="430"/>
      <c r="F38" s="430"/>
      <c r="G38" s="14">
        <v>8</v>
      </c>
    </row>
    <row r="39" spans="2:7" ht="47.25" customHeight="1">
      <c r="B39" s="148"/>
      <c r="C39" s="430"/>
      <c r="D39" s="430"/>
      <c r="E39" s="430"/>
      <c r="F39" s="430"/>
      <c r="G39" s="14">
        <v>9</v>
      </c>
    </row>
    <row r="40" spans="2:7" ht="47.25" customHeight="1">
      <c r="B40" s="148"/>
      <c r="C40" s="430"/>
      <c r="D40" s="430"/>
      <c r="E40" s="430"/>
      <c r="F40" s="430"/>
      <c r="G40" s="14">
        <v>10</v>
      </c>
    </row>
    <row r="41" spans="2:7" ht="47.25" customHeight="1">
      <c r="B41" s="148"/>
      <c r="C41" s="430"/>
      <c r="D41" s="430"/>
      <c r="E41" s="430"/>
      <c r="F41" s="430"/>
      <c r="G41" s="14">
        <v>11</v>
      </c>
    </row>
    <row r="42" spans="2:7" ht="47.25" customHeight="1">
      <c r="B42" s="148"/>
      <c r="C42" s="430"/>
      <c r="D42" s="430"/>
      <c r="E42" s="430"/>
      <c r="F42" s="430"/>
      <c r="G42" s="14">
        <v>12</v>
      </c>
    </row>
    <row r="43" spans="2:7" ht="47.25" customHeight="1">
      <c r="B43" s="148"/>
      <c r="C43" s="430"/>
      <c r="D43" s="430"/>
      <c r="E43" s="430"/>
      <c r="F43" s="430"/>
      <c r="G43" s="14">
        <v>13</v>
      </c>
    </row>
    <row r="44" spans="2:7" ht="47.25" customHeight="1">
      <c r="B44" s="148"/>
      <c r="C44" s="430"/>
      <c r="D44" s="430"/>
      <c r="E44" s="430"/>
      <c r="F44" s="430"/>
      <c r="G44" s="14">
        <v>14</v>
      </c>
    </row>
    <row r="45" spans="2:7" ht="47.25" customHeight="1">
      <c r="B45" s="148"/>
      <c r="C45" s="430"/>
      <c r="D45" s="430"/>
      <c r="E45" s="430"/>
      <c r="F45" s="430"/>
      <c r="G45" s="14">
        <v>15</v>
      </c>
    </row>
  </sheetData>
  <sheetProtection selectLockedCells="1"/>
  <mergeCells count="27">
    <mergeCell ref="C44:F44"/>
    <mergeCell ref="C45:F45"/>
    <mergeCell ref="B18:E18"/>
    <mergeCell ref="E20:E21"/>
    <mergeCell ref="F22:F23"/>
    <mergeCell ref="C41:F41"/>
    <mergeCell ref="C42:F42"/>
    <mergeCell ref="C43:F43"/>
    <mergeCell ref="C40:F40"/>
    <mergeCell ref="C37:F37"/>
    <mergeCell ref="C39:F39"/>
    <mergeCell ref="C38:F38"/>
    <mergeCell ref="C31:F31"/>
    <mergeCell ref="C32:F32"/>
    <mergeCell ref="C35:F35"/>
    <mergeCell ref="C33:F33"/>
    <mergeCell ref="A1:G1"/>
    <mergeCell ref="C25:D25"/>
    <mergeCell ref="C26:D26"/>
    <mergeCell ref="F20:F21"/>
    <mergeCell ref="E22:E23"/>
    <mergeCell ref="C36:F36"/>
    <mergeCell ref="E6:I6"/>
    <mergeCell ref="C27:D27"/>
    <mergeCell ref="C34:F34"/>
    <mergeCell ref="C28:D28"/>
    <mergeCell ref="C30:F30"/>
  </mergeCells>
  <phoneticPr fontId="17" type="noConversion"/>
  <conditionalFormatting sqref="C13">
    <cfRule type="cellIs" dxfId="86" priority="2" operator="greaterThan">
      <formula>$C$10</formula>
    </cfRule>
  </conditionalFormatting>
  <conditionalFormatting sqref="D13">
    <cfRule type="cellIs" dxfId="85" priority="1" operator="greaterThan">
      <formula>$D$10</formula>
    </cfRule>
  </conditionalFormatting>
  <dataValidations count="2">
    <dataValidation type="list" allowBlank="1" showInputMessage="1" showErrorMessage="1" prompt="Please select" sqref="F19" xr:uid="{00000000-0002-0000-1200-000000000000}">
      <formula1>Yes_No</formula1>
    </dataValidation>
    <dataValidation type="whole" allowBlank="1" showInputMessage="1" showErrorMessage="1" prompt="enter a whole number" sqref="C7:D7 C8:C14 D8:D15 C20:C23 C4" xr:uid="{00000000-0002-0000-1200-000001000000}">
      <formula1>0</formula1>
      <formula2>10000</formula2>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6"/>
  </sheetPr>
  <dimension ref="A1:N57"/>
  <sheetViews>
    <sheetView showGridLines="0" topLeftCell="A47" zoomScaleNormal="100" workbookViewId="0">
      <selection activeCell="B57" sqref="B57:L57"/>
    </sheetView>
  </sheetViews>
  <sheetFormatPr defaultColWidth="9.08984375" defaultRowHeight="14.5"/>
  <cols>
    <col min="1" max="1" width="4.08984375" style="4" customWidth="1"/>
    <col min="2" max="2" width="15" style="4" customWidth="1"/>
    <col min="3" max="3" width="17.08984375" style="4" customWidth="1"/>
    <col min="4" max="4" width="13.36328125" style="12" customWidth="1"/>
    <col min="5" max="5" width="16" style="12" customWidth="1"/>
    <col min="6" max="6" width="14.26953125" style="12" customWidth="1"/>
    <col min="7" max="7" width="17.26953125" style="12" customWidth="1"/>
    <col min="8" max="8" width="10.08984375" style="12" customWidth="1"/>
    <col min="9" max="9" width="15" style="12" customWidth="1"/>
    <col min="10" max="10" width="13.90625" style="12" customWidth="1"/>
    <col min="11" max="11" width="14.08984375" style="12" customWidth="1"/>
    <col min="12" max="12" width="14.26953125" style="12" customWidth="1"/>
    <col min="13" max="13" width="14.08984375" style="12" customWidth="1"/>
    <col min="14" max="14" width="13.26953125" style="1" customWidth="1"/>
    <col min="15" max="15" width="13.26953125" customWidth="1"/>
  </cols>
  <sheetData>
    <row r="1" spans="1:14" ht="36.75" hidden="1" customHeight="1">
      <c r="A1" s="358" t="s">
        <v>48</v>
      </c>
      <c r="B1" s="358"/>
      <c r="C1" s="358"/>
      <c r="D1" s="358"/>
      <c r="E1" s="358"/>
      <c r="F1" s="358"/>
      <c r="G1" s="358"/>
      <c r="H1" s="358"/>
      <c r="I1" s="358"/>
      <c r="J1" s="358"/>
      <c r="K1" s="358"/>
      <c r="L1" s="358"/>
      <c r="M1" s="358"/>
      <c r="N1" s="358"/>
    </row>
    <row r="2" spans="1:14" s="19" customFormat="1" ht="23.25" hidden="1" customHeight="1">
      <c r="A2" s="366" t="s">
        <v>541</v>
      </c>
      <c r="B2" s="366"/>
      <c r="C2" s="366"/>
      <c r="D2" s="366"/>
      <c r="E2" s="366"/>
      <c r="F2" s="366"/>
      <c r="G2" s="366"/>
      <c r="H2" s="366"/>
      <c r="I2" s="366"/>
      <c r="J2" s="366"/>
      <c r="K2" s="366"/>
      <c r="L2" s="366"/>
      <c r="M2" s="366"/>
      <c r="N2" s="366"/>
    </row>
    <row r="3" spans="1:14" s="19" customFormat="1" ht="15" hidden="1" customHeight="1">
      <c r="A3" s="369"/>
      <c r="B3" s="369"/>
      <c r="C3" s="369"/>
      <c r="D3" s="369"/>
      <c r="E3" s="369"/>
      <c r="F3" s="369"/>
      <c r="G3" s="369"/>
      <c r="H3" s="369"/>
      <c r="I3" s="369"/>
      <c r="J3" s="369"/>
      <c r="K3" s="369"/>
      <c r="L3" s="369"/>
      <c r="M3" s="369"/>
      <c r="N3" s="369"/>
    </row>
    <row r="4" spans="1:14" ht="21" hidden="1" customHeight="1">
      <c r="B4" s="476" t="s">
        <v>711</v>
      </c>
      <c r="C4" s="476"/>
      <c r="D4" s="476"/>
      <c r="E4" s="476"/>
      <c r="F4" s="25"/>
      <c r="G4" s="25"/>
      <c r="H4" s="25"/>
      <c r="I4" s="25"/>
      <c r="J4" s="25"/>
      <c r="K4" s="25"/>
      <c r="L4" s="25"/>
      <c r="M4" s="25"/>
    </row>
    <row r="5" spans="1:14" ht="35.15" hidden="1" customHeight="1">
      <c r="B5" s="342" t="s">
        <v>539</v>
      </c>
      <c r="C5" s="342"/>
      <c r="D5" s="342"/>
      <c r="E5" s="342"/>
      <c r="F5" s="344"/>
      <c r="G5" s="344"/>
      <c r="H5" s="344"/>
      <c r="I5" s="344"/>
      <c r="J5" s="344"/>
    </row>
    <row r="6" spans="1:14" ht="35.15" hidden="1" customHeight="1">
      <c r="B6" s="342" t="s">
        <v>542</v>
      </c>
      <c r="C6" s="342"/>
      <c r="D6" s="342"/>
      <c r="E6" s="342"/>
      <c r="F6" s="344"/>
      <c r="G6" s="344"/>
      <c r="H6" s="344"/>
      <c r="I6" s="344"/>
      <c r="J6" s="344"/>
      <c r="K6" s="28"/>
      <c r="L6" s="28"/>
      <c r="M6" s="28"/>
    </row>
    <row r="7" spans="1:14" ht="15" hidden="1" customHeight="1">
      <c r="A7" s="19"/>
      <c r="B7" s="19"/>
      <c r="C7" s="19"/>
      <c r="D7" s="33"/>
      <c r="E7" s="33"/>
      <c r="F7" s="28"/>
      <c r="G7" s="28"/>
      <c r="H7" s="19"/>
      <c r="I7" s="19"/>
      <c r="J7" s="19"/>
      <c r="K7" s="19"/>
      <c r="L7" s="19"/>
      <c r="M7" s="19"/>
      <c r="N7" s="19"/>
    </row>
    <row r="8" spans="1:14" ht="23.25" hidden="1" customHeight="1">
      <c r="A8" s="366" t="s">
        <v>598</v>
      </c>
      <c r="B8" s="366"/>
      <c r="C8" s="366"/>
      <c r="D8" s="366"/>
      <c r="E8" s="366"/>
      <c r="F8" s="366"/>
      <c r="G8" s="366"/>
      <c r="H8" s="366"/>
      <c r="I8" s="366"/>
      <c r="J8" s="366"/>
      <c r="K8" s="366"/>
      <c r="L8" s="366"/>
      <c r="M8" s="366"/>
      <c r="N8" s="366"/>
    </row>
    <row r="9" spans="1:14" ht="12" hidden="1" customHeight="1">
      <c r="A9" s="80"/>
      <c r="B9" s="80"/>
      <c r="C9" s="80"/>
      <c r="D9" s="80"/>
      <c r="E9" s="80"/>
      <c r="F9" s="80"/>
      <c r="G9" s="80"/>
      <c r="H9" s="80"/>
      <c r="I9" s="80"/>
      <c r="J9" s="80"/>
      <c r="K9" s="80"/>
      <c r="L9" s="80"/>
      <c r="M9" s="80"/>
      <c r="N9" s="80"/>
    </row>
    <row r="10" spans="1:14" ht="51" hidden="1" customHeight="1">
      <c r="A10" s="80"/>
      <c r="B10" s="473" t="s">
        <v>692</v>
      </c>
      <c r="C10" s="474"/>
      <c r="D10" s="475"/>
      <c r="E10" s="468" t="s">
        <v>675</v>
      </c>
      <c r="F10" s="468"/>
      <c r="G10" s="478" t="s">
        <v>749</v>
      </c>
      <c r="H10" s="479"/>
      <c r="I10" s="468" t="s">
        <v>759</v>
      </c>
      <c r="J10" s="468"/>
      <c r="K10" s="80"/>
      <c r="L10" s="80"/>
      <c r="M10" s="80"/>
      <c r="N10" s="80"/>
    </row>
    <row r="11" spans="1:14" ht="39" hidden="1" customHeight="1">
      <c r="A11" s="80"/>
      <c r="B11" s="468" t="s">
        <v>673</v>
      </c>
      <c r="C11" s="468"/>
      <c r="D11" s="468"/>
      <c r="E11" s="471" t="s">
        <v>41</v>
      </c>
      <c r="F11" s="472"/>
      <c r="G11" s="469"/>
      <c r="H11" s="470"/>
      <c r="I11" s="469"/>
      <c r="J11" s="470"/>
      <c r="K11" s="26"/>
      <c r="L11" s="26"/>
      <c r="M11" s="26"/>
      <c r="N11" s="80"/>
    </row>
    <row r="12" spans="1:14" ht="42.75" hidden="1" customHeight="1">
      <c r="A12" s="80"/>
      <c r="B12" s="468" t="s">
        <v>674</v>
      </c>
      <c r="C12" s="468"/>
      <c r="D12" s="468"/>
      <c r="E12" s="471" t="s">
        <v>41</v>
      </c>
      <c r="F12" s="472"/>
      <c r="G12" s="469"/>
      <c r="H12" s="470"/>
      <c r="I12" s="471" t="s">
        <v>41</v>
      </c>
      <c r="J12" s="472"/>
      <c r="K12" s="113"/>
      <c r="L12" s="113"/>
      <c r="M12" s="113"/>
      <c r="N12" s="80"/>
    </row>
    <row r="13" spans="1:14" ht="27.75" hidden="1" customHeight="1">
      <c r="A13" s="80"/>
      <c r="B13" s="80"/>
      <c r="C13" s="80"/>
      <c r="D13" s="73"/>
      <c r="E13" s="80"/>
      <c r="F13" s="114" t="b">
        <v>0</v>
      </c>
      <c r="G13" s="111"/>
      <c r="H13" s="111"/>
      <c r="J13" s="111"/>
      <c r="K13" s="113"/>
      <c r="L13" s="113"/>
      <c r="M13" s="113"/>
      <c r="N13" s="80"/>
    </row>
    <row r="14" spans="1:14" ht="36.75" hidden="1" customHeight="1">
      <c r="A14" s="80"/>
      <c r="B14" s="80"/>
      <c r="C14" s="80"/>
      <c r="D14" s="73"/>
      <c r="E14" s="80"/>
      <c r="F14" s="112" t="b">
        <v>0</v>
      </c>
      <c r="G14" s="111"/>
      <c r="H14" s="111"/>
      <c r="J14" s="111"/>
      <c r="K14" s="113"/>
      <c r="L14" s="113"/>
      <c r="M14" s="113"/>
      <c r="N14" s="80"/>
    </row>
    <row r="15" spans="1:14" ht="10.5" hidden="1" customHeight="1">
      <c r="A15" s="80"/>
      <c r="B15" s="80"/>
      <c r="C15" s="80"/>
      <c r="D15" s="73"/>
      <c r="E15" s="80"/>
      <c r="F15" s="80"/>
      <c r="G15" s="80"/>
      <c r="H15" s="80"/>
      <c r="I15" s="80"/>
      <c r="J15" s="113"/>
      <c r="K15" s="113"/>
      <c r="L15" s="113"/>
      <c r="M15" s="113"/>
      <c r="N15" s="80"/>
    </row>
    <row r="16" spans="1:14" ht="29.25" hidden="1" customHeight="1">
      <c r="A16" s="80"/>
      <c r="B16" s="127">
        <v>0</v>
      </c>
      <c r="C16" s="466" t="s">
        <v>750</v>
      </c>
      <c r="D16" s="466"/>
      <c r="E16" s="466"/>
      <c r="F16" s="466"/>
      <c r="G16" s="466"/>
      <c r="H16" s="466"/>
      <c r="I16" s="466"/>
      <c r="J16" s="466"/>
      <c r="K16" s="113"/>
      <c r="L16" s="113"/>
      <c r="M16" s="113"/>
      <c r="N16" s="80"/>
    </row>
    <row r="17" spans="2:10" ht="35.25" hidden="1" customHeight="1">
      <c r="B17" s="127">
        <v>0</v>
      </c>
      <c r="C17" s="462" t="s">
        <v>731</v>
      </c>
      <c r="D17" s="463"/>
      <c r="E17" s="463"/>
      <c r="F17" s="463"/>
      <c r="G17" s="463"/>
      <c r="H17" s="463"/>
      <c r="I17" s="463"/>
      <c r="J17" s="464"/>
    </row>
    <row r="18" spans="2:10" ht="35.25" hidden="1" customHeight="1">
      <c r="B18" s="127">
        <v>1</v>
      </c>
      <c r="C18" s="477" t="s">
        <v>733</v>
      </c>
      <c r="D18" s="477"/>
      <c r="E18" s="477"/>
      <c r="F18" s="477"/>
      <c r="G18" s="477"/>
      <c r="H18" s="477"/>
      <c r="I18" s="477"/>
      <c r="J18" s="477"/>
    </row>
    <row r="19" spans="2:10" ht="51.75" hidden="1" customHeight="1">
      <c r="B19" s="127">
        <v>2</v>
      </c>
      <c r="C19" s="465" t="s">
        <v>751</v>
      </c>
      <c r="D19" s="465"/>
      <c r="E19" s="465"/>
      <c r="F19" s="465"/>
      <c r="G19" s="465"/>
      <c r="H19" s="465"/>
      <c r="I19" s="465"/>
      <c r="J19" s="465"/>
    </row>
    <row r="20" spans="2:10" ht="51.75" hidden="1" customHeight="1">
      <c r="B20" s="127">
        <v>3</v>
      </c>
      <c r="C20" s="465" t="s">
        <v>752</v>
      </c>
      <c r="D20" s="465"/>
      <c r="E20" s="465"/>
      <c r="F20" s="465"/>
      <c r="G20" s="465"/>
      <c r="H20" s="465"/>
      <c r="I20" s="465"/>
      <c r="J20" s="465"/>
    </row>
    <row r="21" spans="2:10" ht="72" hidden="1" customHeight="1">
      <c r="B21" s="127">
        <v>4</v>
      </c>
      <c r="C21" s="465" t="s">
        <v>753</v>
      </c>
      <c r="D21" s="465"/>
      <c r="E21" s="465"/>
      <c r="F21" s="465"/>
      <c r="G21" s="465"/>
      <c r="H21" s="465"/>
      <c r="I21" s="465"/>
      <c r="J21" s="465"/>
    </row>
    <row r="22" spans="2:10" ht="12" hidden="1" customHeight="1">
      <c r="B22" s="115"/>
      <c r="C22" s="116"/>
      <c r="D22" s="116"/>
      <c r="E22" s="116"/>
      <c r="F22" s="116"/>
      <c r="G22" s="116"/>
      <c r="H22" s="116"/>
      <c r="I22" s="116"/>
      <c r="J22" s="116"/>
    </row>
    <row r="23" spans="2:10" ht="35.25" hidden="1" customHeight="1">
      <c r="B23" s="427" t="s">
        <v>754</v>
      </c>
      <c r="C23" s="427"/>
      <c r="D23" s="427"/>
      <c r="E23" s="427"/>
      <c r="F23" s="427"/>
      <c r="G23" s="427"/>
      <c r="H23" s="427"/>
      <c r="I23" s="78"/>
      <c r="J23" s="113"/>
    </row>
    <row r="24" spans="2:10" ht="48.75" hidden="1" customHeight="1">
      <c r="B24" s="488" t="s">
        <v>771</v>
      </c>
      <c r="C24" s="489"/>
      <c r="D24" s="140"/>
      <c r="E24" s="457" t="s">
        <v>673</v>
      </c>
      <c r="F24" s="458"/>
      <c r="G24" s="120"/>
      <c r="H24" s="120"/>
      <c r="I24" s="113"/>
      <c r="J24" s="113"/>
    </row>
    <row r="25" spans="2:10" ht="35.25" hidden="1" customHeight="1">
      <c r="B25" s="499" t="s">
        <v>772</v>
      </c>
      <c r="C25" s="489"/>
      <c r="D25" s="349"/>
      <c r="E25" s="457" t="s">
        <v>761</v>
      </c>
      <c r="F25" s="458"/>
      <c r="G25" s="120"/>
      <c r="H25" s="120"/>
      <c r="I25" s="120"/>
      <c r="J25" s="113"/>
    </row>
    <row r="26" spans="2:10" ht="35.25" hidden="1" customHeight="1">
      <c r="B26" s="342" t="s">
        <v>755</v>
      </c>
      <c r="C26" s="342"/>
      <c r="D26" s="342"/>
      <c r="E26" s="342"/>
      <c r="F26" s="342"/>
      <c r="G26" s="144"/>
      <c r="H26" s="7"/>
      <c r="I26" s="113"/>
      <c r="J26" s="113"/>
    </row>
    <row r="27" spans="2:10" ht="35.25" hidden="1" customHeight="1">
      <c r="B27" s="342" t="s">
        <v>756</v>
      </c>
      <c r="C27" s="342"/>
      <c r="D27" s="342"/>
      <c r="E27" s="342"/>
      <c r="F27" s="342"/>
      <c r="G27" s="504"/>
      <c r="H27" s="504"/>
      <c r="I27" s="504"/>
      <c r="J27" s="504"/>
    </row>
    <row r="28" spans="2:10" ht="19.5" hidden="1" customHeight="1">
      <c r="B28" s="115"/>
      <c r="C28" s="116"/>
      <c r="D28" s="116"/>
      <c r="E28" s="116"/>
      <c r="F28" s="116"/>
      <c r="G28" s="116"/>
      <c r="H28" s="116"/>
      <c r="I28" s="116"/>
      <c r="J28" s="116"/>
    </row>
    <row r="29" spans="2:10" ht="28.5" hidden="1" customHeight="1">
      <c r="B29" s="80"/>
      <c r="C29" s="80"/>
      <c r="D29" s="73"/>
      <c r="E29" s="73"/>
      <c r="F29" s="73"/>
      <c r="G29" s="73"/>
      <c r="H29" s="425" t="s">
        <v>681</v>
      </c>
      <c r="I29" s="425"/>
      <c r="J29" s="425"/>
    </row>
    <row r="30" spans="2:10" ht="38.25" hidden="1" customHeight="1">
      <c r="B30" s="508" t="s">
        <v>734</v>
      </c>
      <c r="C30" s="509"/>
      <c r="D30" s="510"/>
      <c r="E30" s="511" t="s">
        <v>769</v>
      </c>
      <c r="F30" s="512"/>
      <c r="G30" s="513"/>
      <c r="H30" s="493"/>
      <c r="I30" s="494"/>
      <c r="J30" s="495"/>
    </row>
    <row r="31" spans="2:10" ht="32.25" hidden="1" customHeight="1">
      <c r="B31" s="342" t="s">
        <v>735</v>
      </c>
      <c r="C31" s="342"/>
      <c r="D31" s="342"/>
      <c r="E31" s="505" t="s">
        <v>894</v>
      </c>
      <c r="F31" s="506"/>
      <c r="G31" s="507"/>
      <c r="H31" s="496"/>
      <c r="I31" s="497"/>
      <c r="J31" s="498"/>
    </row>
    <row r="32" spans="2:10" ht="30" hidden="1" customHeight="1">
      <c r="B32" s="342" t="s">
        <v>736</v>
      </c>
      <c r="C32" s="342"/>
      <c r="D32" s="342"/>
      <c r="E32" s="500" t="s">
        <v>41</v>
      </c>
      <c r="F32" s="501"/>
      <c r="G32" s="502"/>
      <c r="H32" s="459" t="s">
        <v>989</v>
      </c>
      <c r="I32" s="460"/>
      <c r="J32" s="461"/>
    </row>
    <row r="33" spans="1:14" ht="42.75" hidden="1" customHeight="1">
      <c r="B33" s="348" t="s">
        <v>677</v>
      </c>
      <c r="C33" s="403"/>
      <c r="D33" s="398"/>
      <c r="E33" s="490" t="s">
        <v>893</v>
      </c>
      <c r="F33" s="491"/>
      <c r="G33" s="492"/>
      <c r="H33" s="459" t="s">
        <v>983</v>
      </c>
      <c r="I33" s="460"/>
      <c r="J33" s="461"/>
      <c r="K33"/>
      <c r="L33"/>
      <c r="M33"/>
      <c r="N33" s="5"/>
    </row>
    <row r="34" spans="1:14" ht="30.75" hidden="1" customHeight="1">
      <c r="B34" s="348" t="s">
        <v>857</v>
      </c>
      <c r="C34" s="403"/>
      <c r="D34" s="398"/>
      <c r="E34" s="490" t="s">
        <v>41</v>
      </c>
      <c r="F34" s="491"/>
      <c r="G34" s="492"/>
      <c r="H34" s="459" t="s">
        <v>984</v>
      </c>
      <c r="I34" s="460"/>
      <c r="J34" s="461"/>
      <c r="K34"/>
      <c r="L34"/>
      <c r="M34"/>
      <c r="N34" s="5"/>
    </row>
    <row r="35" spans="1:14" ht="41.25" hidden="1" customHeight="1">
      <c r="B35" s="348" t="s">
        <v>678</v>
      </c>
      <c r="C35" s="403"/>
      <c r="D35" s="398"/>
      <c r="E35" s="500" t="s">
        <v>893</v>
      </c>
      <c r="F35" s="501"/>
      <c r="G35" s="502"/>
      <c r="H35" s="459" t="s">
        <v>983</v>
      </c>
      <c r="I35" s="460"/>
      <c r="J35" s="461"/>
      <c r="K35"/>
      <c r="L35"/>
      <c r="M35"/>
      <c r="N35" s="5"/>
    </row>
    <row r="36" spans="1:14" ht="15" hidden="1" customHeight="1">
      <c r="A36" s="441"/>
      <c r="B36" s="441"/>
      <c r="C36" s="441"/>
      <c r="D36" s="441"/>
      <c r="E36" s="441"/>
      <c r="F36" s="441"/>
      <c r="G36" s="441"/>
      <c r="H36" s="441"/>
      <c r="I36" s="441"/>
      <c r="J36" s="441"/>
      <c r="K36" s="441"/>
      <c r="L36" s="441"/>
      <c r="M36" s="441"/>
      <c r="N36" s="441"/>
    </row>
    <row r="37" spans="1:14" ht="24.75" hidden="1" customHeight="1">
      <c r="A37" s="366" t="s">
        <v>544</v>
      </c>
      <c r="B37" s="366"/>
      <c r="C37" s="366"/>
      <c r="D37" s="366"/>
      <c r="E37" s="366"/>
      <c r="F37" s="366"/>
      <c r="G37" s="366"/>
      <c r="H37" s="366"/>
      <c r="I37" s="366"/>
      <c r="J37" s="366"/>
      <c r="K37" s="366"/>
      <c r="L37" s="366"/>
      <c r="M37" s="366"/>
      <c r="N37" s="366"/>
    </row>
    <row r="38" spans="1:14" ht="15" hidden="1" customHeight="1">
      <c r="A38" s="369"/>
      <c r="B38" s="369"/>
      <c r="C38" s="369"/>
      <c r="D38" s="369"/>
      <c r="E38" s="369"/>
      <c r="F38" s="369"/>
      <c r="G38" s="369"/>
      <c r="H38" s="369"/>
      <c r="I38" s="369"/>
      <c r="J38" s="369"/>
      <c r="K38" s="369"/>
      <c r="L38" s="369"/>
      <c r="M38" s="369"/>
      <c r="N38" s="369"/>
    </row>
    <row r="39" spans="1:14" ht="42.75" hidden="1" customHeight="1">
      <c r="A39" s="80"/>
      <c r="B39" s="450" t="s">
        <v>691</v>
      </c>
      <c r="C39" s="450"/>
      <c r="D39" s="450"/>
      <c r="E39" s="446" t="s">
        <v>675</v>
      </c>
      <c r="F39" s="447"/>
      <c r="G39" s="478" t="s">
        <v>757</v>
      </c>
      <c r="H39" s="503"/>
      <c r="K39" s="74"/>
      <c r="L39" s="80"/>
      <c r="M39" s="74"/>
      <c r="N39" s="80"/>
    </row>
    <row r="40" spans="1:14" ht="35.25" hidden="1" customHeight="1">
      <c r="A40" s="80"/>
      <c r="B40" s="445" t="s">
        <v>67</v>
      </c>
      <c r="C40" s="445"/>
      <c r="D40" s="445"/>
      <c r="E40" s="446">
        <f>'DE Employment Structure'!E36</f>
        <v>39</v>
      </c>
      <c r="F40" s="447"/>
      <c r="G40" s="451">
        <f>SUM(E40)</f>
        <v>39</v>
      </c>
      <c r="H40" s="452"/>
      <c r="K40" s="97"/>
      <c r="L40" s="80"/>
      <c r="M40" s="97"/>
      <c r="N40" s="80"/>
    </row>
    <row r="41" spans="1:14" s="70" customFormat="1" ht="15" hidden="1" customHeight="1">
      <c r="A41" s="81"/>
      <c r="B41" s="81"/>
      <c r="C41" s="81"/>
      <c r="D41" s="82"/>
      <c r="E41" s="81"/>
      <c r="F41" s="81"/>
      <c r="G41" s="81"/>
      <c r="H41" s="81"/>
      <c r="I41" s="84"/>
      <c r="J41" s="81"/>
      <c r="K41" s="81"/>
      <c r="L41" s="81"/>
      <c r="M41" s="81"/>
      <c r="N41" s="81"/>
    </row>
    <row r="42" spans="1:14" s="70" customFormat="1" ht="41.25" hidden="1" customHeight="1">
      <c r="A42" s="81"/>
      <c r="B42" s="81"/>
      <c r="C42" s="81"/>
      <c r="D42" s="82"/>
      <c r="E42" s="446" t="s">
        <v>892</v>
      </c>
      <c r="F42" s="447"/>
      <c r="G42" s="446" t="s">
        <v>684</v>
      </c>
      <c r="H42" s="447"/>
      <c r="I42" s="443"/>
      <c r="J42" s="444"/>
      <c r="K42" s="94"/>
      <c r="L42" s="94"/>
      <c r="M42" s="94"/>
      <c r="N42" s="81"/>
    </row>
    <row r="43" spans="1:14" ht="30" hidden="1" customHeight="1">
      <c r="A43" s="31"/>
      <c r="B43" s="442" t="s">
        <v>693</v>
      </c>
      <c r="C43" s="442"/>
      <c r="D43" s="442"/>
      <c r="E43" s="490">
        <f>'Pre Audit Dos'!E10</f>
        <v>1</v>
      </c>
      <c r="F43" s="492"/>
      <c r="G43" s="446">
        <f>SUM(E43)</f>
        <v>1</v>
      </c>
      <c r="H43" s="447"/>
      <c r="I43" s="431" t="s">
        <v>881</v>
      </c>
      <c r="J43" s="427"/>
      <c r="K43" s="427"/>
      <c r="L43" s="427"/>
      <c r="M43" s="427"/>
      <c r="N43" s="98"/>
    </row>
    <row r="44" spans="1:14" ht="36" hidden="1" customHeight="1">
      <c r="A44" s="31"/>
      <c r="B44" s="442" t="s">
        <v>758</v>
      </c>
      <c r="C44" s="442"/>
      <c r="D44" s="442"/>
      <c r="E44" s="448">
        <v>1.4</v>
      </c>
      <c r="F44" s="449"/>
      <c r="G44" s="448">
        <v>15.2</v>
      </c>
      <c r="H44" s="449"/>
      <c r="I44" s="7"/>
      <c r="J44" s="29"/>
      <c r="K44" s="29"/>
      <c r="L44" s="29"/>
      <c r="M44" s="29"/>
      <c r="N44" s="20"/>
    </row>
    <row r="45" spans="1:14" ht="36" hidden="1" customHeight="1">
      <c r="A45" s="31"/>
      <c r="B45" s="442" t="s">
        <v>685</v>
      </c>
      <c r="C45" s="442"/>
      <c r="D45" s="442"/>
      <c r="E45" s="453"/>
      <c r="F45" s="454"/>
      <c r="G45" s="453"/>
      <c r="H45" s="454"/>
      <c r="I45" s="7"/>
      <c r="J45" s="29"/>
      <c r="K45" s="29"/>
      <c r="L45" s="29"/>
      <c r="M45" s="29"/>
      <c r="N45" s="20"/>
    </row>
    <row r="46" spans="1:14" ht="30" hidden="1" customHeight="1">
      <c r="A46" s="31"/>
      <c r="B46" s="442" t="s">
        <v>713</v>
      </c>
      <c r="C46" s="442"/>
      <c r="D46" s="442"/>
      <c r="E46" s="455">
        <f>E43</f>
        <v>1</v>
      </c>
      <c r="F46" s="456"/>
      <c r="G46" s="455">
        <f>G43</f>
        <v>1</v>
      </c>
      <c r="H46" s="456"/>
      <c r="I46" s="431" t="s">
        <v>882</v>
      </c>
      <c r="J46" s="427"/>
      <c r="K46" s="427"/>
      <c r="L46" s="427"/>
      <c r="M46" s="427"/>
      <c r="N46" s="20"/>
    </row>
    <row r="47" spans="1:14" ht="15" customHeight="1">
      <c r="A47" s="407"/>
      <c r="B47" s="407"/>
      <c r="C47" s="407"/>
      <c r="D47" s="407"/>
      <c r="E47" s="407"/>
      <c r="F47" s="407"/>
      <c r="G47" s="407"/>
      <c r="H47" s="407"/>
      <c r="I47" s="407"/>
      <c r="J47" s="407"/>
      <c r="K47" s="407"/>
      <c r="L47" s="407"/>
      <c r="M47" s="407"/>
      <c r="N47" s="407"/>
    </row>
    <row r="48" spans="1:14" ht="24.75" customHeight="1">
      <c r="A48" s="421"/>
      <c r="B48" s="421"/>
      <c r="C48" s="421"/>
      <c r="D48" s="421"/>
      <c r="E48" s="421"/>
      <c r="F48" s="421"/>
      <c r="G48" s="421"/>
      <c r="H48" s="421"/>
      <c r="I48" s="421"/>
      <c r="J48" s="421"/>
      <c r="K48" s="421"/>
      <c r="L48" s="421"/>
      <c r="M48" s="421"/>
      <c r="N48" s="421"/>
    </row>
    <row r="49" spans="1:14" ht="15" customHeight="1">
      <c r="A49" s="421"/>
      <c r="B49" s="421"/>
      <c r="C49" s="421"/>
      <c r="D49" s="421"/>
      <c r="E49" s="421"/>
      <c r="F49" s="421"/>
      <c r="G49" s="421"/>
      <c r="H49" s="421"/>
      <c r="I49" s="421"/>
      <c r="J49" s="421"/>
      <c r="K49" s="421"/>
      <c r="L49" s="421"/>
      <c r="M49" s="421"/>
      <c r="N49" s="421"/>
    </row>
    <row r="50" spans="1:14" ht="50.15" customHeight="1">
      <c r="A50" s="31"/>
      <c r="B50" s="482"/>
      <c r="C50" s="483"/>
      <c r="D50" s="483"/>
      <c r="E50" s="483"/>
      <c r="F50" s="483"/>
      <c r="G50" s="483"/>
      <c r="H50" s="483"/>
      <c r="I50" s="483"/>
      <c r="J50" s="483"/>
      <c r="K50" s="483"/>
      <c r="L50" s="484"/>
      <c r="M50" s="20"/>
      <c r="N50" s="20"/>
    </row>
    <row r="51" spans="1:14" ht="50.15" customHeight="1">
      <c r="A51" s="31"/>
      <c r="B51" s="485"/>
      <c r="C51" s="486"/>
      <c r="D51" s="486"/>
      <c r="E51" s="486"/>
      <c r="F51" s="486"/>
      <c r="G51" s="486"/>
      <c r="H51" s="486"/>
      <c r="I51" s="486"/>
      <c r="J51" s="486"/>
      <c r="K51" s="486"/>
      <c r="L51" s="487"/>
      <c r="M51" s="20"/>
      <c r="N51" s="20"/>
    </row>
    <row r="52" spans="1:14" ht="15" hidden="1" customHeight="1">
      <c r="A52" s="31"/>
      <c r="B52" s="31"/>
      <c r="C52" s="31"/>
      <c r="D52" s="29"/>
      <c r="E52" s="29"/>
      <c r="F52" s="29"/>
      <c r="G52" s="29"/>
      <c r="H52" s="29"/>
      <c r="I52" s="252"/>
      <c r="J52" s="29"/>
      <c r="K52" s="29"/>
      <c r="L52" s="29"/>
      <c r="M52" s="29"/>
      <c r="N52" s="20"/>
    </row>
    <row r="53" spans="1:14" ht="24.75" hidden="1" customHeight="1">
      <c r="A53" s="467"/>
      <c r="B53" s="467"/>
      <c r="C53" s="467"/>
      <c r="D53" s="467"/>
      <c r="E53" s="467"/>
      <c r="F53" s="467"/>
      <c r="G53" s="467"/>
      <c r="H53" s="467"/>
      <c r="I53" s="467"/>
      <c r="J53" s="467"/>
      <c r="K53" s="467"/>
      <c r="L53" s="467"/>
      <c r="M53" s="467"/>
      <c r="N53" s="467"/>
    </row>
    <row r="54" spans="1:14" ht="15" hidden="1" customHeight="1">
      <c r="A54" s="421"/>
      <c r="B54" s="421"/>
      <c r="C54" s="421"/>
      <c r="D54" s="421"/>
      <c r="E54" s="421"/>
      <c r="F54" s="421"/>
      <c r="G54" s="421"/>
      <c r="H54" s="421"/>
      <c r="I54" s="421"/>
      <c r="J54" s="421"/>
      <c r="K54" s="421"/>
      <c r="L54" s="421"/>
      <c r="M54" s="421"/>
      <c r="N54" s="421"/>
    </row>
    <row r="55" spans="1:14" ht="50.15" customHeight="1">
      <c r="A55" s="31"/>
      <c r="B55" s="481" t="s">
        <v>1465</v>
      </c>
      <c r="C55" s="388"/>
      <c r="D55" s="388"/>
      <c r="E55" s="388"/>
      <c r="F55" s="388"/>
      <c r="G55" s="388"/>
      <c r="H55" s="388"/>
      <c r="I55" s="388"/>
      <c r="J55" s="388"/>
      <c r="K55" s="388"/>
      <c r="L55" s="389"/>
      <c r="M55" s="20"/>
      <c r="N55" s="20"/>
    </row>
    <row r="56" spans="1:14" ht="6.75" customHeight="1">
      <c r="A56" s="31"/>
      <c r="B56" s="390"/>
      <c r="C56" s="391"/>
      <c r="D56" s="391"/>
      <c r="E56" s="391"/>
      <c r="F56" s="391"/>
      <c r="G56" s="391"/>
      <c r="H56" s="391"/>
      <c r="I56" s="391"/>
      <c r="J56" s="391"/>
      <c r="K56" s="391"/>
      <c r="L56" s="392"/>
      <c r="M56" s="20"/>
      <c r="N56" s="20"/>
    </row>
    <row r="57" spans="1:14" ht="96" customHeight="1">
      <c r="A57" s="31"/>
      <c r="B57" s="480" t="str">
        <f>MID(uniform!C64,1,LEN(uniform!C64))&amp;" The lowest wage paid for regular working time in the sampled workers was CNY "&amp;uniform!K32&amp;" per month."</f>
        <v>The auditor selected 6 samples from 04/2025 (last paid month), 6 samples from 01/2025 (random month), 6 samples from 11/2024 (random month).  The lowest wage paid for regular working time in the sampled workers was CNY 3100 per month.</v>
      </c>
      <c r="C57" s="367"/>
      <c r="D57" s="367"/>
      <c r="E57" s="367"/>
      <c r="F57" s="367"/>
      <c r="G57" s="367"/>
      <c r="H57" s="367"/>
      <c r="I57" s="367"/>
      <c r="J57" s="367"/>
      <c r="K57" s="367"/>
      <c r="L57" s="368"/>
      <c r="M57" s="20"/>
      <c r="N57" s="20"/>
    </row>
  </sheetData>
  <sheetProtection selectLockedCells="1"/>
  <mergeCells count="87">
    <mergeCell ref="H35:J35"/>
    <mergeCell ref="B32:D32"/>
    <mergeCell ref="G27:J27"/>
    <mergeCell ref="B27:F27"/>
    <mergeCell ref="E34:G34"/>
    <mergeCell ref="H33:J33"/>
    <mergeCell ref="E31:G31"/>
    <mergeCell ref="B33:D33"/>
    <mergeCell ref="B34:D34"/>
    <mergeCell ref="H34:J34"/>
    <mergeCell ref="B31:D31"/>
    <mergeCell ref="B30:D30"/>
    <mergeCell ref="E30:G30"/>
    <mergeCell ref="B57:L57"/>
    <mergeCell ref="B55:L56"/>
    <mergeCell ref="B50:L51"/>
    <mergeCell ref="B24:C24"/>
    <mergeCell ref="E33:G33"/>
    <mergeCell ref="H30:J31"/>
    <mergeCell ref="H29:J29"/>
    <mergeCell ref="B25:D25"/>
    <mergeCell ref="B26:F26"/>
    <mergeCell ref="E35:G35"/>
    <mergeCell ref="E39:F39"/>
    <mergeCell ref="G39:H39"/>
    <mergeCell ref="E40:F40"/>
    <mergeCell ref="E43:F43"/>
    <mergeCell ref="E32:G32"/>
    <mergeCell ref="B35:D35"/>
    <mergeCell ref="C18:J18"/>
    <mergeCell ref="F6:J6"/>
    <mergeCell ref="G12:H12"/>
    <mergeCell ref="G10:H10"/>
    <mergeCell ref="G11:H11"/>
    <mergeCell ref="A1:N1"/>
    <mergeCell ref="A8:N8"/>
    <mergeCell ref="I10:J10"/>
    <mergeCell ref="I11:J11"/>
    <mergeCell ref="I12:J12"/>
    <mergeCell ref="B6:E6"/>
    <mergeCell ref="B10:D10"/>
    <mergeCell ref="B12:D12"/>
    <mergeCell ref="E11:F11"/>
    <mergeCell ref="E10:F10"/>
    <mergeCell ref="B4:E4"/>
    <mergeCell ref="A2:N2"/>
    <mergeCell ref="B5:E5"/>
    <mergeCell ref="B11:D11"/>
    <mergeCell ref="E12:F12"/>
    <mergeCell ref="A3:N3"/>
    <mergeCell ref="A54:N54"/>
    <mergeCell ref="A48:N48"/>
    <mergeCell ref="A53:N53"/>
    <mergeCell ref="A49:N49"/>
    <mergeCell ref="I46:M46"/>
    <mergeCell ref="G46:H46"/>
    <mergeCell ref="F5:J5"/>
    <mergeCell ref="A47:N47"/>
    <mergeCell ref="G45:H45"/>
    <mergeCell ref="E46:F46"/>
    <mergeCell ref="E45:F45"/>
    <mergeCell ref="B45:D45"/>
    <mergeCell ref="B23:H23"/>
    <mergeCell ref="E24:F24"/>
    <mergeCell ref="H32:J32"/>
    <mergeCell ref="E25:F25"/>
    <mergeCell ref="C17:J17"/>
    <mergeCell ref="C21:J21"/>
    <mergeCell ref="C16:J16"/>
    <mergeCell ref="C19:J19"/>
    <mergeCell ref="C20:J20"/>
    <mergeCell ref="A37:N37"/>
    <mergeCell ref="A36:N36"/>
    <mergeCell ref="B46:D46"/>
    <mergeCell ref="I43:M43"/>
    <mergeCell ref="I42:J42"/>
    <mergeCell ref="B40:D40"/>
    <mergeCell ref="G43:H43"/>
    <mergeCell ref="B44:D44"/>
    <mergeCell ref="E44:F44"/>
    <mergeCell ref="G44:H44"/>
    <mergeCell ref="B43:D43"/>
    <mergeCell ref="A38:N38"/>
    <mergeCell ref="B39:D39"/>
    <mergeCell ref="G40:H40"/>
    <mergeCell ref="G42:H42"/>
    <mergeCell ref="E42:F42"/>
  </mergeCells>
  <phoneticPr fontId="17" type="noConversion"/>
  <conditionalFormatting sqref="E46:H46 B46">
    <cfRule type="expression" dxfId="84" priority="86">
      <formula>$G$46&lt;$E$46</formula>
    </cfRule>
  </conditionalFormatting>
  <conditionalFormatting sqref="C28:J28">
    <cfRule type="expression" dxfId="83" priority="89">
      <formula>AND(F14=TRUE,H14=FALSE,J14=FALSE,F15=TRUE,H15=FALSE,J15=FALSE)</formula>
    </cfRule>
  </conditionalFormatting>
  <conditionalFormatting sqref="C28">
    <cfRule type="expression" dxfId="82" priority="93">
      <formula>AND(F15=FALSE,H15=TRUE,J15=FALSE,#REF!=FALSE,#REF!=FALSE,#REF!=TRUE)</formula>
    </cfRule>
    <cfRule type="expression" dxfId="81" priority="94">
      <formula>AND(F15=FALSE,H15=FALSE,J15=FALSE,#REF!=FALSE,#REF!=FALSE,#REF!=TRUE)</formula>
    </cfRule>
    <cfRule type="expression" dxfId="80" priority="95">
      <formula>AND(F15=FALSE,H15=TRUE,J15=FALSE,#REF!=FALSE,#REF!=FALSE,#REF!=FALSE)</formula>
    </cfRule>
  </conditionalFormatting>
  <conditionalFormatting sqref="B28:J28">
    <cfRule type="expression" dxfId="79" priority="97">
      <formula>AND(F14=TRUE,H14=FALSE,J14=FALSE,F15=TRUE,H15=FALSE,J15=FALSE)</formula>
    </cfRule>
  </conditionalFormatting>
  <conditionalFormatting sqref="C20">
    <cfRule type="expression" dxfId="78" priority="22">
      <formula>AND(F13=TRUE,H13=FALSE,J13=TRUE,F14=FALSE,H14=FALSE,J14=FALSE)</formula>
    </cfRule>
  </conditionalFormatting>
  <conditionalFormatting sqref="C21">
    <cfRule type="expression" dxfId="77" priority="23">
      <formula>AND(F13=TRUE,H13=TRUE,J13=TRUE,F14=FALSE,H14=FALSE,J14=FALSE)</formula>
    </cfRule>
  </conditionalFormatting>
  <conditionalFormatting sqref="C19">
    <cfRule type="expression" dxfId="76" priority="24">
      <formula>AND(F13=TRUE,H13=TRUE,J13=FALSE,F14=FALSE,H14=FALSE,J14=FALSE)</formula>
    </cfRule>
  </conditionalFormatting>
  <conditionalFormatting sqref="C18">
    <cfRule type="expression" dxfId="75" priority="25">
      <formula>AND(F13=TRUE,H13=FALSE,J13=FALSE,F14=FALSE,H14=FALSE,J14=FALSE)</formula>
    </cfRule>
    <cfRule type="expression" dxfId="74" priority="26">
      <formula>AND(G13=TRUE,J13=FALSE,#REF!=FALSE)</formula>
    </cfRule>
  </conditionalFormatting>
  <conditionalFormatting sqref="C20">
    <cfRule type="expression" dxfId="73" priority="27">
      <formula>AND(G13=TRUE,J13=FALSE,#REF!=TRUE,G14=FALSE,J14=FALSE,#REF!=FALSE)</formula>
    </cfRule>
  </conditionalFormatting>
  <conditionalFormatting sqref="C21">
    <cfRule type="expression" dxfId="72" priority="28">
      <formula>AND(G13=TRUE,J13=TRUE,#REF!=TRUE,G14=FALSE,J14=FALSE,#REF!=FALSE)</formula>
    </cfRule>
  </conditionalFormatting>
  <conditionalFormatting sqref="C19">
    <cfRule type="expression" dxfId="71" priority="29">
      <formula>AND(G13=TRUE,J13=TRUE,#REF!=FALSE,G14=FALSE,J14=FALSE,#REF!=FALSE)</formula>
    </cfRule>
  </conditionalFormatting>
  <conditionalFormatting sqref="C18">
    <cfRule type="expression" dxfId="70" priority="30">
      <formula>AND(G13=TRUE,J13=FALSE,#REF!=FALSE,G14=FALSE,J14=FALSE,#REF!=FALSE)</formula>
    </cfRule>
  </conditionalFormatting>
  <conditionalFormatting sqref="C18:J18">
    <cfRule type="expression" dxfId="69" priority="21">
      <formula>AND(G13=TRUE,I13=FALSE,K13=FALSE,G14=FALSE,I14=FALSE,K14=FALSE)</formula>
    </cfRule>
  </conditionalFormatting>
  <conditionalFormatting sqref="C19:J19">
    <cfRule type="expression" dxfId="68" priority="20">
      <formula>AND(G13=TRUE,I13=TRUE,K13=FALSE,G14=FALSE,I14=FALSE,K14=FALSE)</formula>
    </cfRule>
  </conditionalFormatting>
  <conditionalFormatting sqref="C20:J20">
    <cfRule type="expression" dxfId="67" priority="17">
      <formula>AND(G13=TRUE,I13=FALSE,K13=FALSE,G14=FALSE,I14=FALSE,K14=TRUE)</formula>
    </cfRule>
    <cfRule type="expression" dxfId="66" priority="19">
      <formula>AND(G13=FALSE,I13=FALSE,G14=FALSE,I14=FALSE,K14=TRUE)</formula>
    </cfRule>
  </conditionalFormatting>
  <conditionalFormatting sqref="C21:J21">
    <cfRule type="expression" dxfId="65" priority="18">
      <formula>AND(G13=TRUE,I13=TRUE,K13=TRUE, G14=FALSE,I14=FALSE,K14=FALSE)</formula>
    </cfRule>
  </conditionalFormatting>
  <conditionalFormatting sqref="C20:J20">
    <cfRule type="expression" dxfId="64" priority="14">
      <formula>AND(F13=FALSE,H13=FALSE,J13=FALSE,F14=TRUE,H14=FALSE,J14=TRUE)</formula>
    </cfRule>
    <cfRule type="expression" dxfId="63" priority="16">
      <formula>AND(F13=TRUE,H13=FALSE,J13=FALSE,F14=FALSE,H14=FALSE,J14=TRUE)</formula>
    </cfRule>
  </conditionalFormatting>
  <conditionalFormatting sqref="C18:J18">
    <cfRule type="expression" dxfId="62" priority="15">
      <formula>AND(F13=FALSE,H13=FALSE,J13=FALSE,F14=TRUE,H14=FALSE,J14=FALSE)</formula>
    </cfRule>
  </conditionalFormatting>
  <conditionalFormatting sqref="C21:J21">
    <cfRule type="expression" dxfId="61" priority="12">
      <formula>AND(F13=FALSE,H13=TRUE,J13=FALSE,F14=TRUE,H14=FALSE,J14=TRUE)</formula>
    </cfRule>
    <cfRule type="expression" dxfId="60" priority="13">
      <formula>AND(F13=TRUE,H13=TRUE,J13=FALSE,F14=FALSE,H14=FALSE,J14=TRUE)</formula>
    </cfRule>
  </conditionalFormatting>
  <conditionalFormatting sqref="C16:J16 C17">
    <cfRule type="expression" dxfId="59" priority="9">
      <formula>AND(F13=FALSE,H13=TRUE,J13=FALSE,F14=FALSE,H14=FALSE,J14=TRUE)</formula>
    </cfRule>
    <cfRule type="expression" dxfId="58" priority="10">
      <formula>AND(F13=FALSE,H13=FALSE,J13=FALSE,F14=FALSE,H14=FALSE,J14=TRUE)</formula>
    </cfRule>
    <cfRule type="expression" dxfId="57" priority="11">
      <formula>AND(F13=FALSE,H13=TRUE,J13=FALSE,F14=FALSE,H14=FALSE,J14=FALSE)</formula>
    </cfRule>
  </conditionalFormatting>
  <conditionalFormatting sqref="C19:J19">
    <cfRule type="expression" dxfId="56" priority="8">
      <formula>AND(F13=FALSE,H13=TRUE,J13=FALSE,F14=TRUE,H14=FALSE,J14=FALSE)</formula>
    </cfRule>
  </conditionalFormatting>
  <conditionalFormatting sqref="B17:J17">
    <cfRule type="expression" dxfId="55" priority="7">
      <formula>AND(F13=TRUE,H13=FALSE,J13=FALSE,F14=TRUE,H14=FALSE,J14=FALSE)</formula>
    </cfRule>
  </conditionalFormatting>
  <conditionalFormatting sqref="C17:J17">
    <cfRule type="expression" dxfId="54" priority="6">
      <formula>AND(F13=TRUE,H13=FALSE,J13=FALSE,F14=TRUE,H14=FALSE,J14=FALSE)</formula>
    </cfRule>
  </conditionalFormatting>
  <conditionalFormatting sqref="C22:J22">
    <cfRule type="expression" dxfId="53" priority="1">
      <formula>AND(F13=TRUE,H13=FALSE,J13=FALSE,F14=TRUE,H14=FALSE,J14=FALSE)</formula>
    </cfRule>
  </conditionalFormatting>
  <conditionalFormatting sqref="C22">
    <cfRule type="expression" dxfId="52" priority="2">
      <formula>AND(F14=FALSE,H14=TRUE,J14=FALSE,#REF!=FALSE,#REF!=FALSE,#REF!=TRUE)</formula>
    </cfRule>
    <cfRule type="expression" dxfId="51" priority="3">
      <formula>AND(F14=FALSE,H14=FALSE,J14=FALSE,#REF!=FALSE,#REF!=FALSE,#REF!=TRUE)</formula>
    </cfRule>
    <cfRule type="expression" dxfId="50" priority="4">
      <formula>AND(F14=FALSE,H14=TRUE,J14=FALSE,#REF!=FALSE,#REF!=FALSE,#REF!=FALSE)</formula>
    </cfRule>
  </conditionalFormatting>
  <conditionalFormatting sqref="B22:J22">
    <cfRule type="expression" dxfId="49" priority="5">
      <formula>AND(F13=TRUE,H13=FALSE,J13=FALSE,F14=TRUE,H14=FALSE,J14=FALSE)</formula>
    </cfRule>
  </conditionalFormatting>
  <dataValidations disablePrompts="1" xWindow="342" yWindow="622" count="10">
    <dataValidation type="list" allowBlank="1" showInputMessage="1" showErrorMessage="1" prompt="Please select_x000a_" sqref="E30" xr:uid="{00000000-0002-0000-0500-000000000000}">
      <formula1>Fullaudit_Followup_audit</formula1>
    </dataValidation>
    <dataValidation type="list" allowBlank="1" showInputMessage="1" showErrorMessage="1" prompt="Please select_x000a_" sqref="E31" xr:uid="{00000000-0002-0000-0500-000001000000}">
      <formula1>Type_of_audit2</formula1>
    </dataValidation>
    <dataValidation type="list" allowBlank="1" showInputMessage="1" showErrorMessage="1" prompt="Please select" sqref="E32:G32 E34:G34" xr:uid="{00000000-0002-0000-0500-000002000000}">
      <formula1>Special_investigation</formula1>
    </dataValidation>
    <dataValidation type="list" allowBlank="1" showInputMessage="1" showErrorMessage="1" prompt="Please select" sqref="E33:G33" xr:uid="{00000000-0002-0000-0500-000003000000}">
      <formula1>audit_extent</formula1>
    </dataValidation>
    <dataValidation type="list" allowBlank="1" showInputMessage="1" showErrorMessage="1" prompt="Please select" sqref="E35:G35" xr:uid="{00000000-0002-0000-0500-000004000000}">
      <formula1>audit_interferences</formula1>
    </dataValidation>
    <dataValidation type="list" allowBlank="1" showInputMessage="1" showErrorMessage="1" prompt="please select" sqref="E11:J12" xr:uid="{00000000-0002-0000-0500-000005000000}">
      <formula1>Yes_No</formula1>
    </dataValidation>
    <dataValidation type="whole" allowBlank="1" showInputMessage="1" showErrorMessage="1" prompt="enter a whole number" sqref="G45:H45 E45:F45 E40:F40 G40:H40" xr:uid="{00000000-0002-0000-0500-000006000000}">
      <formula1>0</formula1>
      <formula2>100000</formula2>
    </dataValidation>
    <dataValidation type="list" allowBlank="1" showInputMessage="1" showErrorMessage="1" sqref="E24:F24" xr:uid="{00000000-0002-0000-0500-000007000000}">
      <formula1>Audit_Environment</formula1>
    </dataValidation>
    <dataValidation type="list" allowBlank="1" showInputMessage="1" showErrorMessage="1" sqref="E25:F25" xr:uid="{00000000-0002-0000-0500-000008000000}">
      <formula1>Request_Scope</formula1>
    </dataValidation>
    <dataValidation type="decimal" allowBlank="1" showInputMessage="1" showErrorMessage="1" prompt="enter a whole number" sqref="E43:F43 G43:H43 E44:F44 G44:H44" xr:uid="{00000000-0002-0000-0500-000009000000}">
      <formula1>0</formula1>
      <formula2>100000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2193" r:id="rId4" name="Button 1">
              <controlPr defaultSize="0" print="0" autoFill="0" autoPict="0" macro="[0]!executive_summary.executive_summary">
                <anchor moveWithCells="1" sizeWithCells="1">
                  <from>
                    <xdr:col>4</xdr:col>
                    <xdr:colOff>171450</xdr:colOff>
                    <xdr:row>46</xdr:row>
                    <xdr:rowOff>152400</xdr:rowOff>
                  </from>
                  <to>
                    <xdr:col>5</xdr:col>
                    <xdr:colOff>533400</xdr:colOff>
                    <xdr:row>48</xdr:row>
                    <xdr:rowOff>127000</xdr:rowOff>
                  </to>
                </anchor>
              </controlPr>
            </control>
          </mc:Choice>
        </mc:AlternateContent>
        <mc:AlternateContent xmlns:mc="http://schemas.openxmlformats.org/markup-compatibility/2006">
          <mc:Choice Requires="x14">
            <control shapeId="392198" r:id="rId5" name="Button 6">
              <controlPr defaultSize="0" print="0" autoFill="0" autoPict="0" macro="[0]!auditplanmerged">
                <anchor moveWithCells="1" sizeWithCells="1">
                  <from>
                    <xdr:col>4</xdr:col>
                    <xdr:colOff>215900</xdr:colOff>
                    <xdr:row>49</xdr:row>
                    <xdr:rowOff>82550</xdr:rowOff>
                  </from>
                  <to>
                    <xdr:col>5</xdr:col>
                    <xdr:colOff>514350</xdr:colOff>
                    <xdr:row>49</xdr:row>
                    <xdr:rowOff>514350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ma">
    <tabColor theme="6"/>
  </sheetPr>
  <dimension ref="A1:CD263"/>
  <sheetViews>
    <sheetView zoomScale="85" zoomScaleNormal="85" workbookViewId="0">
      <pane xSplit="3" ySplit="1" topLeftCell="D92" activePane="bottomRight" state="frozen"/>
      <selection pane="topRight" activeCell="D1" sqref="D1"/>
      <selection pane="bottomLeft" activeCell="A2" sqref="A2"/>
      <selection pane="bottomRight" activeCell="A100" sqref="A100:XFD100"/>
    </sheetView>
  </sheetViews>
  <sheetFormatPr defaultColWidth="9.08984375" defaultRowHeight="14.5"/>
  <cols>
    <col min="1" max="1" width="9" style="14" customWidth="1"/>
    <col min="2" max="2" width="26.08984375" style="11" customWidth="1"/>
    <col min="3" max="3" width="10.90625" style="13" hidden="1" customWidth="1"/>
    <col min="4" max="4" width="91.7265625" style="12" customWidth="1"/>
    <col min="5" max="5" width="12.36328125" style="11" customWidth="1"/>
    <col min="6" max="6" width="16.90625" style="11" customWidth="1"/>
    <col min="7" max="7" width="9.7265625" style="11" hidden="1" customWidth="1"/>
    <col min="8" max="9" width="9.08984375" style="11" hidden="1" customWidth="1"/>
    <col min="10" max="11" width="9.08984375" style="11" customWidth="1"/>
    <col min="12" max="12" width="7.36328125" style="9" hidden="1" customWidth="1"/>
    <col min="13" max="16" width="9.08984375" style="9" hidden="1" customWidth="1"/>
    <col min="17" max="19" width="30.7265625" style="160" customWidth="1"/>
    <col min="20" max="20" width="38.7265625" style="160" customWidth="1"/>
    <col min="21" max="82" width="9.08984375" style="9"/>
  </cols>
  <sheetData>
    <row r="1" spans="1:20" ht="31.5" customHeight="1">
      <c r="A1" s="358"/>
      <c r="B1" s="358"/>
      <c r="C1" s="358"/>
      <c r="D1" s="358"/>
      <c r="E1" s="17" t="str">
        <f>COUNTIF(E7:E246,"Failed")&amp;" PAs"</f>
        <v>5 PAs</v>
      </c>
      <c r="F1" s="17" t="str" cm="1">
        <f t="array" ref="F1">SUM(COUNTIF(F7:F246,{"PARTIALLY","NO"}))&amp;" Findings"</f>
        <v>12 Findings</v>
      </c>
      <c r="G1" s="541"/>
      <c r="H1" s="541"/>
      <c r="I1" s="541"/>
      <c r="J1" s="541"/>
      <c r="K1" s="541"/>
    </row>
    <row r="2" spans="1:20" ht="32.25" hidden="1" customHeight="1">
      <c r="B2" s="14"/>
      <c r="D2" s="130" t="s">
        <v>724</v>
      </c>
      <c r="F2" s="28"/>
      <c r="G2" s="28"/>
      <c r="H2" s="28"/>
      <c r="I2" s="28"/>
      <c r="J2" s="28"/>
      <c r="K2" s="28"/>
      <c r="L2" s="548"/>
    </row>
    <row r="3" spans="1:20" ht="56.25" hidden="1" customHeight="1">
      <c r="B3" s="14"/>
      <c r="D3" s="131" t="s">
        <v>727</v>
      </c>
      <c r="E3" s="154"/>
      <c r="F3" s="131"/>
      <c r="G3" s="131"/>
      <c r="H3" s="131"/>
      <c r="I3" s="131"/>
      <c r="J3" s="131"/>
      <c r="K3" s="131"/>
      <c r="L3" s="548"/>
    </row>
    <row r="4" spans="1:20" ht="33" hidden="1" customHeight="1">
      <c r="B4" s="14"/>
      <c r="D4" s="132" t="s">
        <v>700</v>
      </c>
      <c r="E4" s="109"/>
      <c r="F4" s="132"/>
      <c r="G4" s="132"/>
      <c r="H4" s="132"/>
      <c r="I4" s="132"/>
      <c r="J4" s="132"/>
      <c r="K4" s="132"/>
      <c r="L4" s="548"/>
    </row>
    <row r="5" spans="1:20" ht="14.25" hidden="1" customHeight="1">
      <c r="B5" s="132"/>
      <c r="D5" s="132"/>
      <c r="E5" s="109"/>
      <c r="F5" s="132"/>
      <c r="G5" s="132"/>
      <c r="H5" s="132"/>
      <c r="I5" s="132"/>
      <c r="J5" s="132"/>
      <c r="K5" s="132"/>
    </row>
    <row r="6" spans="1:20" ht="11.25" customHeight="1"/>
    <row r="7" spans="1:20" ht="27" customHeight="1">
      <c r="A7" s="65" t="s">
        <v>729</v>
      </c>
      <c r="B7" s="17"/>
      <c r="D7" s="65"/>
      <c r="E7" s="17" t="str">
        <f>IF(COUNTIF(F10:F13,"Partially")+COUNTIF(F10:F13,"NO")&gt;0,"Failed", "Perfect")</f>
        <v>Failed</v>
      </c>
      <c r="F7" s="17"/>
      <c r="G7" s="541"/>
      <c r="H7" s="541"/>
      <c r="I7" s="541"/>
      <c r="J7" s="541"/>
      <c r="K7" s="541"/>
    </row>
    <row r="8" spans="1:20" ht="56.25" customHeight="1">
      <c r="A8" s="128" t="s">
        <v>0</v>
      </c>
      <c r="B8" s="129" t="s">
        <v>760</v>
      </c>
      <c r="D8" s="133" t="s">
        <v>1</v>
      </c>
      <c r="E8" s="129" t="s">
        <v>665</v>
      </c>
      <c r="F8" s="133" t="s">
        <v>697</v>
      </c>
      <c r="G8" s="540" t="s">
        <v>43</v>
      </c>
      <c r="H8" s="530"/>
      <c r="I8" s="530"/>
      <c r="J8" s="530"/>
      <c r="K8" s="503"/>
      <c r="Q8" s="540" t="s">
        <v>879</v>
      </c>
      <c r="R8" s="549"/>
      <c r="S8" s="549"/>
      <c r="T8" s="550"/>
    </row>
    <row r="9" spans="1:20" ht="21.75" customHeight="1">
      <c r="A9" s="2"/>
      <c r="B9" s="5"/>
      <c r="D9" s="68"/>
      <c r="E9" s="5"/>
      <c r="F9" s="133"/>
      <c r="G9" s="133" t="s">
        <v>44</v>
      </c>
      <c r="H9" s="133" t="s">
        <v>45</v>
      </c>
      <c r="I9" s="133" t="s">
        <v>46</v>
      </c>
      <c r="J9" s="133" t="s">
        <v>47</v>
      </c>
      <c r="K9" s="133" t="s">
        <v>847</v>
      </c>
      <c r="Q9" s="540" t="s">
        <v>17</v>
      </c>
      <c r="R9" s="550"/>
      <c r="S9" s="540" t="s">
        <v>880</v>
      </c>
      <c r="T9" s="550"/>
    </row>
    <row r="10" spans="1:20" ht="49.5" customHeight="1">
      <c r="A10" s="13">
        <v>1.1000000000000001</v>
      </c>
      <c r="B10" s="11" t="s">
        <v>30</v>
      </c>
      <c r="C10" s="13" t="s">
        <v>896</v>
      </c>
      <c r="D10" t="s">
        <v>885</v>
      </c>
      <c r="E10" s="13" t="s">
        <v>728</v>
      </c>
      <c r="F10" s="166" t="s">
        <v>40</v>
      </c>
      <c r="G10" s="143" t="s">
        <v>39</v>
      </c>
      <c r="H10" s="143" t="s">
        <v>39</v>
      </c>
      <c r="I10" s="143" t="s">
        <v>39</v>
      </c>
      <c r="J10" s="143" t="s">
        <v>39</v>
      </c>
      <c r="K10" s="143" t="s">
        <v>39</v>
      </c>
      <c r="L10" s="134"/>
      <c r="M10" s="134"/>
      <c r="N10" s="134"/>
      <c r="O10" s="134"/>
      <c r="P10" s="134"/>
      <c r="Q10" s="551" t="str">
        <f>Reference!B2&amp;IF(uniform!D3=FALSE,"&lt;br&gt;"&amp;Reference!B5,"")</f>
        <v>Based on site observation, document review and personnel interview, it was noted that the factory has established a written BSCI management procedure, which has been approved by the top management; However, the factory's social responsibility management procedure has not been effectively operated, nonconformities were found in the following performance areas:
This violates BSCI Code of Conduct. The factory representative claims that they will continue to make improvements. Based on the overall review of the 13 performance chapters of BSCI, this item is rated as' Partially Compliant '.</v>
      </c>
      <c r="R10" s="552"/>
      <c r="S10" s="551" t="str">
        <f>Reference!B3&amp;IF(uniform!D3=FALSE,"&lt;br&gt;"&amp;Reference!B6,"")</f>
        <v>根据现场观察、文件审查和人员访谈，发现工厂已经制定了书面的BSCI管理程序，该程序已得到最高管理层的批准；然而，工厂的社会责任管理程序没有得到有效运行，在以下绩效领域发现了不符合项：
这违反了BSCI行为准则的要求。工厂代表声称他们会进行持续改善。基于BSCI 13个绩效章节的整体审核情况,本项评定为"部分符合"。</v>
      </c>
      <c r="T10" s="552"/>
    </row>
    <row r="11" spans="1:20" ht="33.75" customHeight="1">
      <c r="A11" s="13">
        <v>1.2</v>
      </c>
      <c r="B11" s="11" t="s">
        <v>30</v>
      </c>
      <c r="C11" s="13" t="s">
        <v>897</v>
      </c>
      <c r="D11" t="s">
        <v>886</v>
      </c>
      <c r="E11" s="11" t="s">
        <v>728</v>
      </c>
      <c r="F11" s="166" t="str">
        <f>IF(Q11="","YES","PARTIALLY")</f>
        <v>YES</v>
      </c>
      <c r="G11" s="143" t="s">
        <v>39</v>
      </c>
      <c r="H11" s="143" t="s">
        <v>39</v>
      </c>
      <c r="I11" s="143" t="s">
        <v>39</v>
      </c>
      <c r="J11" s="143" t="s">
        <v>39</v>
      </c>
      <c r="K11" s="143" t="s">
        <v>39</v>
      </c>
      <c r="L11" s="134"/>
      <c r="M11" s="134"/>
      <c r="N11" s="134"/>
      <c r="O11" s="134"/>
      <c r="P11" s="134"/>
      <c r="Q11" s="551"/>
      <c r="R11" s="552"/>
      <c r="S11" s="551"/>
      <c r="T11" s="552"/>
    </row>
    <row r="12" spans="1:20" ht="36.75" customHeight="1">
      <c r="A12" s="13">
        <v>1.3</v>
      </c>
      <c r="B12" s="11" t="s">
        <v>30</v>
      </c>
      <c r="C12" s="13" t="s">
        <v>898</v>
      </c>
      <c r="D12" t="s">
        <v>887</v>
      </c>
      <c r="E12" s="11" t="s">
        <v>728</v>
      </c>
      <c r="F12" s="166" t="str">
        <f>IF(Q12="","YES","PARTIALLY")</f>
        <v>YES</v>
      </c>
      <c r="G12" s="143" t="s">
        <v>39</v>
      </c>
      <c r="H12" s="143" t="s">
        <v>39</v>
      </c>
      <c r="I12" s="143" t="s">
        <v>39</v>
      </c>
      <c r="J12" s="143" t="s">
        <v>39</v>
      </c>
      <c r="K12" s="143" t="s">
        <v>39</v>
      </c>
      <c r="L12" s="134"/>
      <c r="M12" s="134"/>
      <c r="N12" s="134"/>
      <c r="O12" s="134"/>
      <c r="P12" s="134"/>
      <c r="Q12" s="551" t="str">
        <f>IF(uniform!F3=FALSE,Reference!B8,"")</f>
        <v/>
      </c>
      <c r="R12" s="552"/>
      <c r="S12" s="551" t="str">
        <f>IF(uniform!F3=FALSE,Reference!B9,"")</f>
        <v/>
      </c>
      <c r="T12" s="552"/>
    </row>
    <row r="13" spans="1:20" ht="36" customHeight="1">
      <c r="A13" s="13">
        <v>1.4</v>
      </c>
      <c r="B13" s="11" t="s">
        <v>30</v>
      </c>
      <c r="C13" s="13" t="s">
        <v>899</v>
      </c>
      <c r="D13" t="s">
        <v>619</v>
      </c>
      <c r="E13" s="11" t="s">
        <v>728</v>
      </c>
      <c r="F13" s="166" t="str">
        <f>IF(Q13="","YES","PARTIALLY")</f>
        <v>PARTIALLY</v>
      </c>
      <c r="G13" s="143" t="s">
        <v>39</v>
      </c>
      <c r="H13" s="143" t="s">
        <v>39</v>
      </c>
      <c r="I13" s="143" t="s">
        <v>41</v>
      </c>
      <c r="J13" s="143" t="s">
        <v>39</v>
      </c>
      <c r="K13" s="143" t="s">
        <v>39</v>
      </c>
      <c r="L13" s="134"/>
      <c r="M13" s="134"/>
      <c r="N13" s="134"/>
      <c r="O13" s="134"/>
      <c r="P13" s="134"/>
      <c r="Q13" s="551" t="str">
        <f>Reference!B11</f>
        <v>Based on personnel interview, site observation, and document review, it was noted that the factory had conducted capacity assessment, but the capacity assessment did not consider the legal compliance of working hours, resulting in monthly overtime exceeding the legal limit. For details, please refer to 6.2.  
This is not in compliance with the requirements of article 41 of the Labor Law of the PRC. The question is rated as “No” because the factory failed to effectively control the overtime of workers to meet the legal requirements when completing the order.</v>
      </c>
      <c r="R13" s="552"/>
      <c r="S13" s="551" t="str">
        <f>Reference!B12</f>
        <v>根据人员访谈，现场观察和文件审阅，发现工厂进行了产能评估，但产能评估没有考虑工作时间的法律符合性，导致月加班超出法律限制，详情请参考6.2。这不符合《中华人民共和国劳动法》第四十一条的要求。该问题被评为“不符合”，因为工厂在完成订单时未能有效控制工人的加班以满足法律要求。</v>
      </c>
      <c r="T13" s="552"/>
    </row>
    <row r="14" spans="1:20" ht="34.5" customHeight="1">
      <c r="A14" s="13">
        <v>1.5</v>
      </c>
      <c r="B14" s="11" t="s">
        <v>31</v>
      </c>
      <c r="C14" s="13" t="s">
        <v>900</v>
      </c>
      <c r="D14" t="s">
        <v>888</v>
      </c>
      <c r="E14" s="11" t="s">
        <v>728</v>
      </c>
      <c r="F14" s="153" t="s">
        <v>893</v>
      </c>
      <c r="G14" s="153" t="s">
        <v>41</v>
      </c>
      <c r="H14" s="153" t="s">
        <v>41</v>
      </c>
      <c r="I14" s="153" t="s">
        <v>41</v>
      </c>
      <c r="J14" s="153" t="s">
        <v>41</v>
      </c>
      <c r="K14" s="153" t="s">
        <v>41</v>
      </c>
      <c r="L14" s="134"/>
      <c r="M14" s="134"/>
      <c r="N14" s="134"/>
      <c r="O14" s="134"/>
      <c r="P14" s="134"/>
      <c r="Q14" s="553" t="s">
        <v>893</v>
      </c>
      <c r="R14" s="553"/>
      <c r="S14" s="553" t="s">
        <v>893</v>
      </c>
      <c r="T14" s="553"/>
    </row>
    <row r="15" spans="1:20" ht="48" customHeight="1">
      <c r="A15" s="13">
        <v>1.6</v>
      </c>
      <c r="B15" s="11" t="s">
        <v>31</v>
      </c>
      <c r="C15" s="13" t="s">
        <v>901</v>
      </c>
      <c r="D15" t="s">
        <v>723</v>
      </c>
      <c r="E15" s="11" t="s">
        <v>728</v>
      </c>
      <c r="F15" s="153" t="s">
        <v>893</v>
      </c>
      <c r="G15" s="153" t="s">
        <v>41</v>
      </c>
      <c r="H15" s="153" t="s">
        <v>41</v>
      </c>
      <c r="I15" s="153" t="s">
        <v>41</v>
      </c>
      <c r="J15" s="153" t="s">
        <v>41</v>
      </c>
      <c r="K15" s="153" t="s">
        <v>41</v>
      </c>
      <c r="L15" s="134"/>
      <c r="M15" s="134"/>
      <c r="N15" s="134"/>
      <c r="O15" s="134"/>
      <c r="P15" s="134"/>
      <c r="Q15" s="553" t="s">
        <v>893</v>
      </c>
      <c r="R15" s="553"/>
      <c r="S15" s="553" t="s">
        <v>893</v>
      </c>
      <c r="T15" s="553"/>
    </row>
    <row r="16" spans="1:20" ht="31.5" customHeight="1">
      <c r="A16" s="13">
        <v>1.7</v>
      </c>
      <c r="B16" s="11" t="s">
        <v>31</v>
      </c>
      <c r="C16" s="13" t="s">
        <v>902</v>
      </c>
      <c r="D16" t="s">
        <v>2</v>
      </c>
      <c r="E16" s="11" t="s">
        <v>728</v>
      </c>
      <c r="F16" s="153" t="s">
        <v>893</v>
      </c>
      <c r="G16" s="153" t="s">
        <v>41</v>
      </c>
      <c r="H16" s="153" t="s">
        <v>41</v>
      </c>
      <c r="I16" s="153" t="s">
        <v>41</v>
      </c>
      <c r="J16" s="153" t="s">
        <v>41</v>
      </c>
      <c r="K16" s="153" t="s">
        <v>41</v>
      </c>
      <c r="L16" s="134"/>
      <c r="M16" s="134"/>
      <c r="N16" s="134"/>
      <c r="O16" s="134"/>
      <c r="P16" s="134"/>
      <c r="Q16" s="553" t="s">
        <v>893</v>
      </c>
      <c r="R16" s="553"/>
      <c r="S16" s="553" t="s">
        <v>893</v>
      </c>
      <c r="T16" s="553"/>
    </row>
    <row r="17" spans="1:20" ht="12.75" customHeight="1">
      <c r="B17" s="7"/>
      <c r="D17" s="110" t="s">
        <v>722</v>
      </c>
      <c r="E17" s="7"/>
      <c r="G17" s="11" t="str">
        <f>IF(COUNTIF(F10:F13,"Partially")+COUNTIF(F10:F13,"NO")&gt;0,"Finding", "No Finding")</f>
        <v>Finding</v>
      </c>
      <c r="M17" s="134"/>
      <c r="N17" s="134"/>
      <c r="O17" s="134"/>
      <c r="P17" s="134"/>
    </row>
    <row r="18" spans="1:20" ht="21.75" customHeight="1">
      <c r="B18" s="245" t="s">
        <v>1775</v>
      </c>
      <c r="C18" s="255"/>
      <c r="D18" s="256" t="s">
        <v>1712</v>
      </c>
      <c r="E18" s="245" t="s">
        <v>1774</v>
      </c>
      <c r="F18" s="257" t="s">
        <v>1713</v>
      </c>
      <c r="I18" s="520" t="s">
        <v>762</v>
      </c>
      <c r="J18" s="503"/>
      <c r="K18" s="150"/>
      <c r="M18" s="134"/>
      <c r="N18" s="134"/>
      <c r="O18" s="134"/>
      <c r="P18" s="134"/>
    </row>
    <row r="19" spans="1:20" ht="12" hidden="1" customHeight="1">
      <c r="B19" s="7"/>
      <c r="D19" s="110"/>
      <c r="E19" s="7"/>
      <c r="M19" s="134"/>
      <c r="N19" s="134"/>
      <c r="O19" s="134"/>
      <c r="P19" s="134"/>
    </row>
    <row r="20" spans="1:20" ht="50.15" customHeight="1">
      <c r="A20" s="521" t="s">
        <v>878</v>
      </c>
      <c r="B20" s="526"/>
      <c r="D20" s="514" t="str">
        <f>uniform!B4&amp;'DE Employment Structure'!F22&amp;uniform!I4&amp;CHAR(10)&amp;"However, based on satisfactory evidence, the factory partially respects this principle. "</f>
        <v xml:space="preserve">The factory had established, implemented and maintained its social responsibility policies and procedures in accordance with the BSCI Code of Conduct, and was committed to continuously improve its social responsibility performance in the areas of labor rights, occupational health &amp; safety and environmental protection. One Management Representative, Mr. Zhou Weiwu/Production Manager was appointed to coordinate the implementation of the social responsibility management system, and the relevant responsibilities and authority were distributed and communicated within the organization.
However, based on satisfactory evidence, the factory partially respects this principle. </v>
      </c>
      <c r="E20" s="515"/>
      <c r="F20" s="515"/>
      <c r="G20" s="515"/>
      <c r="H20" s="515"/>
      <c r="I20" s="515"/>
      <c r="J20" s="515"/>
      <c r="K20" s="516"/>
      <c r="L20" s="135"/>
      <c r="M20" s="134"/>
      <c r="N20" s="134"/>
      <c r="O20" s="134"/>
      <c r="P20" s="134"/>
    </row>
    <row r="21" spans="1:20" ht="34.5" customHeight="1">
      <c r="A21" s="527"/>
      <c r="B21" s="528"/>
      <c r="D21" s="517"/>
      <c r="E21" s="518"/>
      <c r="F21" s="518"/>
      <c r="G21" s="518"/>
      <c r="H21" s="518"/>
      <c r="I21" s="518"/>
      <c r="J21" s="518"/>
      <c r="K21" s="519"/>
      <c r="L21" s="136"/>
      <c r="M21" s="134"/>
      <c r="N21" s="134"/>
      <c r="O21" s="134"/>
      <c r="P21" s="134"/>
    </row>
    <row r="22" spans="1:20" ht="38.25" customHeight="1">
      <c r="A22" s="521" t="s">
        <v>877</v>
      </c>
      <c r="B22" s="526"/>
      <c r="D22" s="514" t="str">
        <f>uniform!B5&amp;IF(COUNTIF(F10:F13,"Partially")+COUNTIF(F10:F13,"NO")&gt;0,E18,F18)</f>
        <v>工厂根据BSCI行为准则建立，实施和保持了社会责任政策和程序，承诺在劳工权利，职业健康和安全以及环境保护等方面持续改进社会责任绩效。工厂指派周伟武/生产经理来统筹协调社会责任管理体系的落实，相关的职责和权限在组织内部得以分配和沟通。基于令人满意的证据，工厂部分尊重本条原则。</v>
      </c>
      <c r="E22" s="515"/>
      <c r="F22" s="515"/>
      <c r="G22" s="515"/>
      <c r="H22" s="515"/>
      <c r="I22" s="515"/>
      <c r="J22" s="515"/>
      <c r="K22" s="516"/>
      <c r="L22" s="135"/>
      <c r="M22" s="134"/>
      <c r="N22" s="134"/>
      <c r="O22" s="134"/>
      <c r="P22" s="134"/>
    </row>
    <row r="23" spans="1:20" ht="12" customHeight="1">
      <c r="A23" s="527"/>
      <c r="B23" s="528"/>
      <c r="D23" s="517"/>
      <c r="E23" s="518"/>
      <c r="F23" s="518"/>
      <c r="G23" s="518"/>
      <c r="H23" s="518"/>
      <c r="I23" s="518"/>
      <c r="J23" s="518"/>
      <c r="K23" s="519"/>
      <c r="L23" s="136"/>
      <c r="M23" s="134"/>
      <c r="N23" s="134"/>
      <c r="O23" s="134"/>
      <c r="P23" s="134"/>
    </row>
    <row r="24" spans="1:20" ht="18" hidden="1" customHeight="1">
      <c r="A24" s="521" t="s">
        <v>42</v>
      </c>
      <c r="B24" s="522"/>
      <c r="D24" s="514" t="s">
        <v>93</v>
      </c>
      <c r="E24" s="515"/>
      <c r="F24" s="515"/>
      <c r="G24" s="515"/>
      <c r="H24" s="515"/>
      <c r="I24" s="515"/>
      <c r="J24" s="515"/>
      <c r="K24" s="516"/>
      <c r="L24" s="137"/>
      <c r="M24" s="134"/>
      <c r="N24" s="134"/>
      <c r="O24" s="134"/>
      <c r="P24" s="134"/>
    </row>
    <row r="25" spans="1:20" ht="15.5" hidden="1">
      <c r="A25" s="523"/>
      <c r="B25" s="524"/>
      <c r="D25" s="517"/>
      <c r="E25" s="518"/>
      <c r="F25" s="518"/>
      <c r="G25" s="518"/>
      <c r="H25" s="518"/>
      <c r="I25" s="518"/>
      <c r="J25" s="518"/>
      <c r="K25" s="519"/>
      <c r="L25" s="138"/>
      <c r="M25" s="134"/>
      <c r="N25" s="134"/>
      <c r="O25" s="134"/>
      <c r="P25" s="134"/>
    </row>
    <row r="26" spans="1:20" ht="15.75" hidden="1" customHeight="1">
      <c r="B26" s="7"/>
      <c r="D26" s="7"/>
      <c r="E26" s="7"/>
      <c r="H26" s="57"/>
      <c r="I26" s="57"/>
      <c r="J26" s="57"/>
      <c r="K26" s="57"/>
      <c r="M26" s="134"/>
      <c r="N26" s="134"/>
      <c r="O26" s="134"/>
      <c r="P26" s="134"/>
    </row>
    <row r="27" spans="1:20" s="1" customFormat="1" ht="27" customHeight="1">
      <c r="A27" s="57" t="s">
        <v>18</v>
      </c>
      <c r="B27" s="17"/>
      <c r="C27" s="13"/>
      <c r="D27" s="57"/>
      <c r="E27" s="17" t="str">
        <f>IF(COUNTIF(F30:F34,"Partially")+COUNTIF(F30:F34,"NO")&gt;0,"Failed","Perfect")</f>
        <v>Failed</v>
      </c>
      <c r="F27" s="57"/>
      <c r="G27" s="541"/>
      <c r="H27" s="541"/>
      <c r="I27" s="541"/>
      <c r="J27" s="541"/>
      <c r="K27" s="541"/>
      <c r="L27" s="10"/>
      <c r="M27" s="134"/>
      <c r="N27" s="134"/>
      <c r="O27" s="134"/>
      <c r="P27" s="134"/>
      <c r="Q27" s="160"/>
      <c r="R27" s="160"/>
      <c r="S27" s="160"/>
      <c r="T27" s="160"/>
    </row>
    <row r="28" spans="1:20" ht="54" customHeight="1">
      <c r="A28" s="128" t="s">
        <v>0</v>
      </c>
      <c r="B28" s="129" t="s">
        <v>760</v>
      </c>
      <c r="D28" s="133" t="s">
        <v>1</v>
      </c>
      <c r="E28" s="129" t="s">
        <v>665</v>
      </c>
      <c r="F28" s="133" t="s">
        <v>697</v>
      </c>
      <c r="G28" s="540" t="s">
        <v>43</v>
      </c>
      <c r="H28" s="530"/>
      <c r="I28" s="530"/>
      <c r="J28" s="530"/>
      <c r="K28" s="503"/>
      <c r="M28" s="134"/>
      <c r="N28" s="134"/>
      <c r="O28" s="134"/>
      <c r="P28" s="134"/>
      <c r="Q28" s="540" t="s">
        <v>879</v>
      </c>
      <c r="R28" s="549"/>
      <c r="S28" s="549"/>
      <c r="T28" s="550"/>
    </row>
    <row r="29" spans="1:20" ht="24.75" customHeight="1">
      <c r="A29" s="2"/>
      <c r="B29" s="5"/>
      <c r="D29" s="68"/>
      <c r="E29" s="5"/>
      <c r="F29" s="133"/>
      <c r="G29" s="133" t="s">
        <v>44</v>
      </c>
      <c r="H29" s="133" t="s">
        <v>45</v>
      </c>
      <c r="I29" s="133" t="s">
        <v>46</v>
      </c>
      <c r="J29" s="133" t="s">
        <v>47</v>
      </c>
      <c r="K29" s="133" t="s">
        <v>847</v>
      </c>
      <c r="M29" s="134"/>
      <c r="N29" s="134"/>
      <c r="O29" s="134"/>
      <c r="P29" s="134"/>
      <c r="Q29" s="540" t="s">
        <v>17</v>
      </c>
      <c r="R29" s="550"/>
      <c r="S29" s="540" t="s">
        <v>880</v>
      </c>
      <c r="T29" s="550"/>
    </row>
    <row r="30" spans="1:20" ht="45.75" customHeight="1">
      <c r="A30" s="15">
        <v>2.1</v>
      </c>
      <c r="C30" s="13" t="s">
        <v>903</v>
      </c>
      <c r="D30" t="s">
        <v>3</v>
      </c>
      <c r="E30" s="11" t="s">
        <v>728</v>
      </c>
      <c r="F30" s="242" t="str">
        <f>IF(Q30="","YES","PARTIALLY")</f>
        <v>YES</v>
      </c>
      <c r="G30" s="143" t="s">
        <v>39</v>
      </c>
      <c r="H30" s="143" t="s">
        <v>39</v>
      </c>
      <c r="I30" s="143" t="s">
        <v>39</v>
      </c>
      <c r="J30" s="143" t="s">
        <v>39</v>
      </c>
      <c r="K30" s="143" t="s">
        <v>41</v>
      </c>
      <c r="L30" s="134"/>
      <c r="M30" s="134"/>
      <c r="N30" s="134"/>
      <c r="O30" s="134"/>
      <c r="P30" s="134"/>
      <c r="Q30" s="551" t="str">
        <f>IF(uniform!B9=FALSE,Reference!B14,"")</f>
        <v/>
      </c>
      <c r="R30" s="552"/>
      <c r="S30" s="551" t="str">
        <f>IF(uniform!B9=FALSE,Reference!B15,"")</f>
        <v/>
      </c>
      <c r="T30" s="552"/>
    </row>
    <row r="31" spans="1:20" ht="34.5" customHeight="1">
      <c r="A31" s="15">
        <v>2.2000000000000002</v>
      </c>
      <c r="C31" s="13" t="s">
        <v>904</v>
      </c>
      <c r="D31" t="s">
        <v>889</v>
      </c>
      <c r="E31" s="11" t="s">
        <v>728</v>
      </c>
      <c r="F31" s="242" t="str">
        <f t="shared" ref="F31:F34" si="0">IF(Q31="","YES","PARTIALLY")</f>
        <v>YES</v>
      </c>
      <c r="G31" s="143" t="s">
        <v>39</v>
      </c>
      <c r="H31" s="143" t="s">
        <v>41</v>
      </c>
      <c r="I31" s="143" t="s">
        <v>39</v>
      </c>
      <c r="J31" s="143" t="s">
        <v>39</v>
      </c>
      <c r="K31" s="143" t="s">
        <v>41</v>
      </c>
      <c r="L31" s="134"/>
      <c r="M31" s="134"/>
      <c r="N31" s="134"/>
      <c r="O31" s="134"/>
      <c r="P31" s="134"/>
      <c r="Q31" s="551" t="str">
        <f>IF(uniform!G9=FALSE,Reference!B18,"")</f>
        <v/>
      </c>
      <c r="R31" s="552"/>
      <c r="S31" s="551" t="str">
        <f>IF(uniform!G9=FALSE,Reference!B19,"")</f>
        <v/>
      </c>
      <c r="T31" s="552"/>
    </row>
    <row r="32" spans="1:20" ht="15.5">
      <c r="A32" s="15">
        <v>2.2999999999999998</v>
      </c>
      <c r="C32" s="13" t="s">
        <v>905</v>
      </c>
      <c r="D32" t="s">
        <v>4</v>
      </c>
      <c r="E32" s="8" t="s">
        <v>704</v>
      </c>
      <c r="F32" s="242" t="str">
        <f t="shared" si="0"/>
        <v>PARTIALLY</v>
      </c>
      <c r="G32" s="143" t="s">
        <v>39</v>
      </c>
      <c r="H32" s="143" t="s">
        <v>39</v>
      </c>
      <c r="I32" s="143" t="s">
        <v>39</v>
      </c>
      <c r="J32" s="143" t="s">
        <v>39</v>
      </c>
      <c r="K32" s="143" t="s">
        <v>39</v>
      </c>
      <c r="L32" s="134"/>
      <c r="M32" s="134"/>
      <c r="N32" s="134"/>
      <c r="O32" s="134"/>
      <c r="P32" s="134"/>
      <c r="Q32" s="551" t="s">
        <v>1655</v>
      </c>
      <c r="R32" s="552"/>
      <c r="S32" s="551" t="s">
        <v>893</v>
      </c>
      <c r="T32" s="552"/>
    </row>
    <row r="33" spans="1:20" ht="15.5">
      <c r="A33" s="15">
        <v>2.4</v>
      </c>
      <c r="C33" s="13" t="s">
        <v>906</v>
      </c>
      <c r="D33" t="s">
        <v>620</v>
      </c>
      <c r="E33" s="11" t="s">
        <v>728</v>
      </c>
      <c r="F33" s="242" t="str">
        <f t="shared" si="0"/>
        <v>YES</v>
      </c>
      <c r="G33" s="143" t="s">
        <v>39</v>
      </c>
      <c r="H33" s="143" t="s">
        <v>39</v>
      </c>
      <c r="I33" s="143" t="s">
        <v>39</v>
      </c>
      <c r="J33" s="143" t="s">
        <v>39</v>
      </c>
      <c r="K33" s="143" t="s">
        <v>41</v>
      </c>
      <c r="L33" s="134"/>
      <c r="M33" s="134"/>
      <c r="N33" s="134"/>
      <c r="O33" s="134"/>
      <c r="P33" s="134"/>
      <c r="Q33" s="551" t="str">
        <f>IF(uniform!B11=FALSE,Reference!B22,"")</f>
        <v/>
      </c>
      <c r="R33" s="552"/>
      <c r="S33" s="551" t="str">
        <f>IF(uniform!B11=FALSE,Reference!B23,"")</f>
        <v/>
      </c>
      <c r="T33" s="552"/>
    </row>
    <row r="34" spans="1:20" ht="15.5">
      <c r="A34" s="15">
        <v>2.5</v>
      </c>
      <c r="B34" s="11" t="s">
        <v>32</v>
      </c>
      <c r="C34" s="13" t="s">
        <v>907</v>
      </c>
      <c r="D34" t="s">
        <v>621</v>
      </c>
      <c r="E34" s="11" t="s">
        <v>728</v>
      </c>
      <c r="F34" s="242" t="str">
        <f t="shared" si="0"/>
        <v>YES</v>
      </c>
      <c r="G34" s="143" t="s">
        <v>39</v>
      </c>
      <c r="H34" s="143" t="s">
        <v>39</v>
      </c>
      <c r="I34" s="143" t="s">
        <v>39</v>
      </c>
      <c r="J34" s="143" t="s">
        <v>39</v>
      </c>
      <c r="K34" s="143" t="s">
        <v>39</v>
      </c>
      <c r="L34" s="134"/>
      <c r="M34" s="134"/>
      <c r="N34" s="134"/>
      <c r="O34" s="134"/>
      <c r="P34" s="134"/>
      <c r="Q34" s="551" t="s">
        <v>893</v>
      </c>
      <c r="R34" s="552"/>
      <c r="S34" s="551" t="s">
        <v>893</v>
      </c>
      <c r="T34" s="552"/>
    </row>
    <row r="35" spans="1:20" ht="12" hidden="1" customHeight="1">
      <c r="A35"/>
      <c r="B35"/>
      <c r="C35"/>
      <c r="D35"/>
      <c r="E35" s="13"/>
      <c r="L35"/>
      <c r="M35" s="134"/>
      <c r="N35" s="134"/>
      <c r="O35" s="134"/>
      <c r="P35" s="134"/>
    </row>
    <row r="36" spans="1:20" ht="22.5" customHeight="1">
      <c r="A36" s="15"/>
      <c r="D36" s="67"/>
      <c r="I36" s="520" t="s">
        <v>762</v>
      </c>
      <c r="J36" s="503"/>
      <c r="K36" s="150"/>
      <c r="M36" s="134"/>
      <c r="N36" s="134"/>
      <c r="O36" s="134"/>
      <c r="P36" s="134"/>
    </row>
    <row r="37" spans="1:20" ht="10.5" hidden="1" customHeight="1">
      <c r="A37" s="15"/>
      <c r="D37" s="67"/>
      <c r="L37" s="15"/>
      <c r="M37" s="134"/>
      <c r="N37" s="134"/>
      <c r="O37" s="134"/>
      <c r="P37" s="134"/>
      <c r="Q37" s="161"/>
      <c r="R37" s="162"/>
      <c r="S37" s="162"/>
      <c r="T37" s="162"/>
    </row>
    <row r="38" spans="1:20" ht="50.15" customHeight="1">
      <c r="A38" s="521" t="s">
        <v>878</v>
      </c>
      <c r="B38" s="526"/>
      <c r="D38" s="514" t="str">
        <f>uniform!B6&amp;IF(COUNTIF(F30:F34,"Partially")+COUNTIF(F30:F34,"NO")&gt;0,B18,D18)</f>
        <v>Per document review, management interview and employees’ private interview, it was noted that the factory had established communication structure and procedures to genuinely involve workers and their representatives. Meeting records showed that management exchanges information on workplace-related issues with workers and their representatives regularly. According to interviewees, provided procedures and records, workers' representatives were elected by workers without any interference from factory management. Workers’ representatives were allowed to carry out their duties within working hours without losing pay or other negative repercussions. Grievance mechanism procedure had been established. Workers and communities can lodge grievances through such a mechanism. Based on satisfactory evidence, the factory partially respects this principle.</v>
      </c>
      <c r="E38" s="515"/>
      <c r="F38" s="515"/>
      <c r="G38" s="515"/>
      <c r="H38" s="515"/>
      <c r="I38" s="515"/>
      <c r="J38" s="515"/>
      <c r="K38" s="516"/>
      <c r="L38" s="135"/>
      <c r="M38" s="134"/>
      <c r="N38" s="134"/>
      <c r="O38" s="134"/>
      <c r="P38" s="134"/>
    </row>
    <row r="39" spans="1:20" ht="50.15" customHeight="1">
      <c r="A39" s="527"/>
      <c r="B39" s="528"/>
      <c r="D39" s="517"/>
      <c r="E39" s="518"/>
      <c r="F39" s="518"/>
      <c r="G39" s="518"/>
      <c r="H39" s="518"/>
      <c r="I39" s="518"/>
      <c r="J39" s="518"/>
      <c r="K39" s="519"/>
      <c r="L39" s="136"/>
      <c r="M39" s="134"/>
      <c r="N39" s="134"/>
      <c r="O39" s="134"/>
      <c r="P39" s="134"/>
    </row>
    <row r="40" spans="1:20" ht="50.15" customHeight="1">
      <c r="A40" s="521" t="s">
        <v>877</v>
      </c>
      <c r="B40" s="526"/>
      <c r="D40" s="514" t="str">
        <f>uniform!B7&amp;IF(COUNTIF(F30:F34,"Partially")+COUNTIF(F30:F34,"NO")&gt;0,E18,F18)</f>
        <v>通过文件查阅、管理层访谈和员工访谈，审核发现工厂建立了沟通渠道和程序来切实确保员工及员工代表的参与。会议记录显示管理人员与员工代表定期就工作场所相关事项进行一次沟通。根据员工访谈，管理程序文件及记录显示，员工代表由员工自由选举而不受管理层干涉。员工代表可以在工作时间行使其职责而不会被克扣工资或者受到任何负面影响。工厂建立了申诉机制，员工和周边社区可以通过该机制表达诉求。基于令人满意的证据，工厂部分尊重本条原则。</v>
      </c>
      <c r="E40" s="515"/>
      <c r="F40" s="515"/>
      <c r="G40" s="515"/>
      <c r="H40" s="515"/>
      <c r="I40" s="515"/>
      <c r="J40" s="515"/>
      <c r="K40" s="516"/>
      <c r="L40" s="135"/>
      <c r="M40" s="134"/>
      <c r="N40" s="134"/>
      <c r="O40" s="134"/>
      <c r="P40" s="134"/>
    </row>
    <row r="41" spans="1:20" ht="15.5">
      <c r="A41" s="527"/>
      <c r="B41" s="528"/>
      <c r="D41" s="517"/>
      <c r="E41" s="518"/>
      <c r="F41" s="518"/>
      <c r="G41" s="518"/>
      <c r="H41" s="518"/>
      <c r="I41" s="518"/>
      <c r="J41" s="518"/>
      <c r="K41" s="519"/>
      <c r="L41" s="136"/>
      <c r="M41" s="134"/>
      <c r="N41" s="134"/>
      <c r="O41" s="134"/>
      <c r="P41" s="134"/>
    </row>
    <row r="42" spans="1:20" ht="22.5" hidden="1" customHeight="1">
      <c r="A42" s="521" t="s">
        <v>42</v>
      </c>
      <c r="B42" s="522"/>
      <c r="D42" s="514" t="s">
        <v>93</v>
      </c>
      <c r="E42" s="515"/>
      <c r="F42" s="515"/>
      <c r="G42" s="515"/>
      <c r="H42" s="515"/>
      <c r="I42" s="515"/>
      <c r="J42" s="515"/>
      <c r="K42" s="516"/>
      <c r="L42" s="137"/>
      <c r="M42" s="134"/>
      <c r="N42" s="134"/>
      <c r="O42" s="134"/>
      <c r="P42" s="134"/>
    </row>
    <row r="43" spans="1:20" ht="15.5" hidden="1">
      <c r="A43" s="523"/>
      <c r="B43" s="524"/>
      <c r="D43" s="517"/>
      <c r="E43" s="518"/>
      <c r="F43" s="518"/>
      <c r="G43" s="518"/>
      <c r="H43" s="518"/>
      <c r="I43" s="518"/>
      <c r="J43" s="518"/>
      <c r="K43" s="519"/>
      <c r="L43" s="138"/>
      <c r="M43" s="134"/>
      <c r="N43" s="134"/>
      <c r="O43" s="134"/>
      <c r="P43" s="134"/>
    </row>
    <row r="44" spans="1:20" ht="15.75" hidden="1" customHeight="1">
      <c r="M44" s="134"/>
      <c r="N44" s="134"/>
      <c r="O44" s="134"/>
      <c r="P44" s="134"/>
    </row>
    <row r="45" spans="1:20" s="1" customFormat="1" ht="27.75" customHeight="1">
      <c r="A45" s="56" t="s">
        <v>19</v>
      </c>
      <c r="B45" s="18"/>
      <c r="C45" s="13"/>
      <c r="D45" s="56"/>
      <c r="E45" s="17" t="str">
        <f>IF(COUNTIF(F48:F51,"Partially")+COUNTIF(F48:F51,"NO")&gt;0,"Failed","Perfect")</f>
        <v>Perfect</v>
      </c>
      <c r="F45" s="56"/>
      <c r="G45" s="541" t="s">
        <v>871</v>
      </c>
      <c r="H45" s="541"/>
      <c r="I45" s="541"/>
      <c r="J45" s="541"/>
      <c r="K45" s="541"/>
      <c r="L45" s="10"/>
      <c r="M45" s="134"/>
      <c r="N45" s="134"/>
      <c r="O45" s="134"/>
      <c r="P45" s="134"/>
      <c r="Q45" s="160"/>
      <c r="R45" s="160"/>
      <c r="S45" s="160"/>
      <c r="T45" s="160"/>
    </row>
    <row r="46" spans="1:20" ht="50.25" customHeight="1">
      <c r="A46" s="128" t="s">
        <v>0</v>
      </c>
      <c r="B46" s="129" t="s">
        <v>760</v>
      </c>
      <c r="D46" s="133" t="s">
        <v>1</v>
      </c>
      <c r="E46" s="129" t="s">
        <v>665</v>
      </c>
      <c r="F46" s="133" t="s">
        <v>697</v>
      </c>
      <c r="G46" s="540" t="s">
        <v>43</v>
      </c>
      <c r="H46" s="530"/>
      <c r="I46" s="530"/>
      <c r="J46" s="530"/>
      <c r="K46" s="503"/>
      <c r="M46" s="134"/>
      <c r="N46" s="134"/>
      <c r="O46" s="134"/>
      <c r="P46" s="134"/>
      <c r="Q46" s="540" t="s">
        <v>879</v>
      </c>
      <c r="R46" s="549"/>
      <c r="S46" s="549"/>
      <c r="T46" s="550"/>
    </row>
    <row r="47" spans="1:20" ht="21" customHeight="1">
      <c r="A47" s="2"/>
      <c r="B47" s="5"/>
      <c r="D47" s="68"/>
      <c r="E47" s="5"/>
      <c r="F47" s="133"/>
      <c r="G47" s="133" t="s">
        <v>44</v>
      </c>
      <c r="H47" s="133" t="s">
        <v>45</v>
      </c>
      <c r="I47" s="133" t="s">
        <v>46</v>
      </c>
      <c r="J47" s="133" t="s">
        <v>47</v>
      </c>
      <c r="K47" s="133" t="s">
        <v>847</v>
      </c>
      <c r="M47" s="134"/>
      <c r="N47" s="134"/>
      <c r="O47" s="134"/>
      <c r="P47" s="134"/>
      <c r="Q47" s="540" t="s">
        <v>17</v>
      </c>
      <c r="R47" s="550"/>
      <c r="S47" s="540" t="s">
        <v>880</v>
      </c>
      <c r="T47" s="550"/>
    </row>
    <row r="48" spans="1:20" ht="15.5">
      <c r="A48" s="13">
        <v>3.1</v>
      </c>
      <c r="C48" s="13" t="s">
        <v>908</v>
      </c>
      <c r="D48" t="s">
        <v>740</v>
      </c>
      <c r="E48" s="11" t="s">
        <v>728</v>
      </c>
      <c r="F48" s="242" t="str">
        <f>IF(Q48="","YES","PARTIALLY")</f>
        <v>YES</v>
      </c>
      <c r="G48" s="143" t="s">
        <v>39</v>
      </c>
      <c r="H48" s="143" t="s">
        <v>39</v>
      </c>
      <c r="I48" s="143" t="s">
        <v>39</v>
      </c>
      <c r="J48" s="143" t="s">
        <v>39</v>
      </c>
      <c r="K48" s="143" t="s">
        <v>41</v>
      </c>
      <c r="L48" s="134"/>
      <c r="M48" s="134"/>
      <c r="N48" s="134"/>
      <c r="O48" s="134"/>
      <c r="P48" s="134"/>
      <c r="Q48" s="551" t="s">
        <v>893</v>
      </c>
      <c r="R48" s="552"/>
      <c r="S48" s="551" t="s">
        <v>893</v>
      </c>
      <c r="T48" s="552"/>
    </row>
    <row r="49" spans="1:20" ht="36.75" customHeight="1">
      <c r="A49" s="13">
        <v>3.2</v>
      </c>
      <c r="C49" s="13" t="s">
        <v>909</v>
      </c>
      <c r="D49" t="s">
        <v>5</v>
      </c>
      <c r="E49" s="8" t="s">
        <v>704</v>
      </c>
      <c r="F49" s="242" t="s">
        <v>39</v>
      </c>
      <c r="G49" s="143" t="s">
        <v>39</v>
      </c>
      <c r="H49" s="143" t="s">
        <v>39</v>
      </c>
      <c r="I49" s="143" t="s">
        <v>39</v>
      </c>
      <c r="J49" s="143" t="s">
        <v>39</v>
      </c>
      <c r="K49" s="143" t="s">
        <v>41</v>
      </c>
      <c r="L49" s="134"/>
      <c r="M49" s="134"/>
      <c r="N49" s="134"/>
      <c r="O49" s="134"/>
      <c r="P49" s="134"/>
      <c r="Q49" s="551" t="s">
        <v>893</v>
      </c>
      <c r="R49" s="552"/>
      <c r="S49" s="551" t="s">
        <v>893</v>
      </c>
      <c r="T49" s="552"/>
    </row>
    <row r="50" spans="1:20" ht="15.5">
      <c r="A50" s="13">
        <v>3.3</v>
      </c>
      <c r="C50" s="13" t="s">
        <v>910</v>
      </c>
      <c r="D50" t="s">
        <v>622</v>
      </c>
      <c r="E50" s="11" t="s">
        <v>728</v>
      </c>
      <c r="F50" s="242" t="str">
        <f t="shared" ref="F50:F51" si="1">IF(Q50="","YES","PARTIALLY")</f>
        <v>YES</v>
      </c>
      <c r="G50" s="143" t="s">
        <v>39</v>
      </c>
      <c r="H50" s="143" t="s">
        <v>39</v>
      </c>
      <c r="I50" s="143" t="s">
        <v>39</v>
      </c>
      <c r="J50" s="143" t="s">
        <v>39</v>
      </c>
      <c r="K50" s="143" t="s">
        <v>41</v>
      </c>
      <c r="L50" s="134"/>
      <c r="M50" s="134"/>
      <c r="N50" s="134"/>
      <c r="O50" s="134"/>
      <c r="P50" s="134"/>
      <c r="Q50" s="551"/>
      <c r="R50" s="552"/>
      <c r="S50" s="551" t="s">
        <v>893</v>
      </c>
      <c r="T50" s="552"/>
    </row>
    <row r="51" spans="1:20" ht="15.5">
      <c r="A51" s="13">
        <v>3.4</v>
      </c>
      <c r="C51" s="13" t="s">
        <v>911</v>
      </c>
      <c r="D51" t="s">
        <v>623</v>
      </c>
      <c r="E51" s="11" t="s">
        <v>728</v>
      </c>
      <c r="F51" s="242" t="str">
        <f t="shared" si="1"/>
        <v>YES</v>
      </c>
      <c r="G51" s="143" t="s">
        <v>39</v>
      </c>
      <c r="H51" s="143" t="s">
        <v>39</v>
      </c>
      <c r="I51" s="143" t="s">
        <v>39</v>
      </c>
      <c r="J51" s="143" t="s">
        <v>39</v>
      </c>
      <c r="K51" s="143" t="s">
        <v>41</v>
      </c>
      <c r="L51" s="134"/>
      <c r="M51" s="134"/>
      <c r="N51" s="134"/>
      <c r="O51" s="134"/>
      <c r="P51" s="134"/>
      <c r="Q51" s="551" t="s">
        <v>893</v>
      </c>
      <c r="R51" s="552"/>
      <c r="S51" s="551" t="s">
        <v>893</v>
      </c>
      <c r="T51" s="552"/>
    </row>
    <row r="52" spans="1:20" ht="12" hidden="1" customHeight="1">
      <c r="A52"/>
      <c r="B52"/>
      <c r="C52"/>
      <c r="D52"/>
      <c r="E52" s="13"/>
      <c r="L52"/>
      <c r="M52" s="134"/>
      <c r="N52" s="134"/>
      <c r="O52" s="134"/>
      <c r="P52" s="134"/>
    </row>
    <row r="53" spans="1:20" ht="23.25" customHeight="1">
      <c r="A53" s="15"/>
      <c r="D53" s="67"/>
      <c r="I53" s="520" t="s">
        <v>762</v>
      </c>
      <c r="J53" s="503"/>
      <c r="K53" s="150"/>
      <c r="M53" s="134"/>
      <c r="N53" s="134"/>
      <c r="O53" s="134"/>
      <c r="P53" s="134"/>
    </row>
    <row r="54" spans="1:20" ht="12" hidden="1" customHeight="1">
      <c r="A54" s="15"/>
      <c r="D54" s="67"/>
      <c r="L54" s="15"/>
      <c r="M54" s="134"/>
      <c r="N54" s="134"/>
      <c r="O54" s="134"/>
      <c r="P54" s="134"/>
    </row>
    <row r="55" spans="1:20" ht="50.15" customHeight="1">
      <c r="A55" s="521" t="s">
        <v>878</v>
      </c>
      <c r="B55" s="526"/>
      <c r="D55" s="525" t="s">
        <v>1780</v>
      </c>
      <c r="E55" s="543"/>
      <c r="F55" s="543"/>
      <c r="G55" s="543"/>
      <c r="H55" s="543"/>
      <c r="I55" s="543"/>
      <c r="J55" s="543"/>
      <c r="K55" s="544"/>
      <c r="L55" s="135"/>
      <c r="M55" s="134"/>
      <c r="N55" s="134"/>
      <c r="O55" s="134"/>
      <c r="P55" s="134"/>
    </row>
    <row r="56" spans="1:20" ht="50.15" customHeight="1">
      <c r="A56" s="527"/>
      <c r="B56" s="528"/>
      <c r="D56" s="545"/>
      <c r="E56" s="546"/>
      <c r="F56" s="546"/>
      <c r="G56" s="546"/>
      <c r="H56" s="546"/>
      <c r="I56" s="546"/>
      <c r="J56" s="546"/>
      <c r="K56" s="547"/>
      <c r="L56" s="136"/>
      <c r="M56" s="134"/>
      <c r="N56" s="134"/>
      <c r="O56" s="134"/>
      <c r="P56" s="134"/>
    </row>
    <row r="57" spans="1:20" ht="50.15" customHeight="1">
      <c r="A57" s="521" t="s">
        <v>877</v>
      </c>
      <c r="B57" s="526"/>
      <c r="D57" s="525"/>
      <c r="E57" s="515"/>
      <c r="F57" s="515"/>
      <c r="G57" s="515"/>
      <c r="H57" s="515"/>
      <c r="I57" s="515"/>
      <c r="J57" s="515"/>
      <c r="K57" s="516"/>
      <c r="L57" s="135"/>
      <c r="M57" s="134"/>
      <c r="N57" s="134"/>
      <c r="O57" s="134"/>
      <c r="P57" s="134"/>
    </row>
    <row r="58" spans="1:20" ht="15.5">
      <c r="A58" s="527"/>
      <c r="B58" s="528"/>
      <c r="D58" s="517"/>
      <c r="E58" s="518"/>
      <c r="F58" s="518"/>
      <c r="G58" s="518"/>
      <c r="H58" s="518"/>
      <c r="I58" s="518"/>
      <c r="J58" s="518"/>
      <c r="K58" s="519"/>
      <c r="L58" s="136"/>
      <c r="M58" s="134"/>
      <c r="N58" s="134"/>
      <c r="O58" s="134"/>
      <c r="P58" s="134"/>
    </row>
    <row r="59" spans="1:20" ht="24" hidden="1" customHeight="1">
      <c r="A59" s="521" t="s">
        <v>42</v>
      </c>
      <c r="B59" s="522"/>
      <c r="D59" s="525" t="s">
        <v>93</v>
      </c>
      <c r="E59" s="515"/>
      <c r="F59" s="515"/>
      <c r="G59" s="515"/>
      <c r="H59" s="515"/>
      <c r="I59" s="515"/>
      <c r="J59" s="515"/>
      <c r="K59" s="516"/>
      <c r="L59" s="137"/>
      <c r="M59" s="134"/>
      <c r="N59" s="134"/>
      <c r="O59" s="134"/>
      <c r="P59" s="134"/>
    </row>
    <row r="60" spans="1:20" ht="15.5" hidden="1">
      <c r="A60" s="523"/>
      <c r="B60" s="524"/>
      <c r="D60" s="517"/>
      <c r="E60" s="518"/>
      <c r="F60" s="518"/>
      <c r="G60" s="518"/>
      <c r="H60" s="518"/>
      <c r="I60" s="518"/>
      <c r="J60" s="518"/>
      <c r="K60" s="519"/>
      <c r="L60" s="138"/>
      <c r="M60" s="134"/>
      <c r="N60" s="134"/>
      <c r="O60" s="134"/>
      <c r="P60" s="134"/>
    </row>
    <row r="61" spans="1:20" ht="15.75" hidden="1" customHeight="1">
      <c r="M61" s="134"/>
      <c r="N61" s="134"/>
      <c r="O61" s="134"/>
      <c r="P61" s="134"/>
    </row>
    <row r="62" spans="1:20" ht="27" customHeight="1">
      <c r="A62" s="56" t="s">
        <v>20</v>
      </c>
      <c r="B62" s="18"/>
      <c r="D62" s="56"/>
      <c r="E62" s="17" t="str">
        <f>IF(COUNTIF(F65:F67,"Partially")+COUNTIF(F65:F67,"NO")&gt;0,"Failed","Perfect")</f>
        <v>Perfect</v>
      </c>
      <c r="F62" s="56"/>
      <c r="G62" s="541" t="s">
        <v>871</v>
      </c>
      <c r="H62" s="541"/>
      <c r="I62" s="541"/>
      <c r="J62" s="541"/>
      <c r="K62" s="541"/>
      <c r="M62" s="134"/>
      <c r="N62" s="134"/>
      <c r="O62" s="134"/>
      <c r="P62" s="134"/>
    </row>
    <row r="63" spans="1:20" ht="46.5" customHeight="1">
      <c r="A63" s="128" t="s">
        <v>0</v>
      </c>
      <c r="B63" s="129" t="s">
        <v>760</v>
      </c>
      <c r="D63" s="133" t="s">
        <v>1</v>
      </c>
      <c r="E63" s="129" t="s">
        <v>665</v>
      </c>
      <c r="F63" s="133" t="s">
        <v>697</v>
      </c>
      <c r="G63" s="540" t="s">
        <v>43</v>
      </c>
      <c r="H63" s="530"/>
      <c r="I63" s="530"/>
      <c r="J63" s="530"/>
      <c r="K63" s="503"/>
      <c r="M63" s="134"/>
      <c r="N63" s="134"/>
      <c r="O63" s="134"/>
      <c r="P63" s="134"/>
      <c r="Q63" s="540" t="s">
        <v>879</v>
      </c>
      <c r="R63" s="549"/>
      <c r="S63" s="549"/>
      <c r="T63" s="550"/>
    </row>
    <row r="64" spans="1:20" ht="22.5" customHeight="1">
      <c r="A64" s="2"/>
      <c r="B64" s="5"/>
      <c r="D64" s="68"/>
      <c r="E64" s="5"/>
      <c r="F64" s="133"/>
      <c r="G64" s="133" t="s">
        <v>44</v>
      </c>
      <c r="H64" s="133" t="s">
        <v>45</v>
      </c>
      <c r="I64" s="133" t="s">
        <v>46</v>
      </c>
      <c r="J64" s="133" t="s">
        <v>47</v>
      </c>
      <c r="K64" s="133" t="s">
        <v>847</v>
      </c>
      <c r="M64" s="134"/>
      <c r="N64" s="134"/>
      <c r="O64" s="134"/>
      <c r="P64" s="134"/>
      <c r="Q64" s="540" t="s">
        <v>17</v>
      </c>
      <c r="R64" s="550"/>
      <c r="S64" s="540" t="s">
        <v>880</v>
      </c>
      <c r="T64" s="550"/>
    </row>
    <row r="65" spans="1:20" ht="41.25" customHeight="1">
      <c r="A65" s="13">
        <v>4.0999999999999996</v>
      </c>
      <c r="C65" s="13" t="s">
        <v>912</v>
      </c>
      <c r="D65" t="s">
        <v>624</v>
      </c>
      <c r="E65" s="8" t="s">
        <v>704</v>
      </c>
      <c r="F65" s="242" t="str">
        <f>IF(Q65="","YES","PARTIALLY")</f>
        <v>YES</v>
      </c>
      <c r="G65" s="143" t="s">
        <v>39</v>
      </c>
      <c r="H65" s="143" t="s">
        <v>39</v>
      </c>
      <c r="I65" s="143" t="s">
        <v>39</v>
      </c>
      <c r="J65" s="143" t="s">
        <v>39</v>
      </c>
      <c r="K65" s="143" t="s">
        <v>41</v>
      </c>
      <c r="L65" s="134"/>
      <c r="M65" s="134"/>
      <c r="N65" s="134"/>
      <c r="O65" s="134"/>
      <c r="P65" s="134"/>
      <c r="Q65" s="551" t="s">
        <v>893</v>
      </c>
      <c r="R65" s="552"/>
      <c r="S65" s="551" t="s">
        <v>893</v>
      </c>
      <c r="T65" s="552"/>
    </row>
    <row r="66" spans="1:20" ht="61.5" customHeight="1">
      <c r="A66" s="13">
        <v>4.2</v>
      </c>
      <c r="C66" s="13" t="s">
        <v>913</v>
      </c>
      <c r="D66" t="s">
        <v>625</v>
      </c>
      <c r="E66" s="11" t="s">
        <v>728</v>
      </c>
      <c r="F66" s="242" t="str">
        <f t="shared" ref="F66:F67" si="2">IF(Q66="","YES","PARTIALLY")</f>
        <v>YES</v>
      </c>
      <c r="G66" s="143" t="s">
        <v>39</v>
      </c>
      <c r="H66" s="143" t="s">
        <v>39</v>
      </c>
      <c r="I66" s="143" t="s">
        <v>39</v>
      </c>
      <c r="J66" s="143" t="s">
        <v>39</v>
      </c>
      <c r="K66" s="143" t="s">
        <v>41</v>
      </c>
      <c r="L66" s="134"/>
      <c r="M66" s="134"/>
      <c r="N66" s="134"/>
      <c r="O66" s="134"/>
      <c r="P66" s="134"/>
      <c r="Q66" s="551"/>
      <c r="R66" s="552"/>
      <c r="S66" s="551" t="s">
        <v>893</v>
      </c>
      <c r="T66" s="552"/>
    </row>
    <row r="67" spans="1:20" ht="52.5" customHeight="1">
      <c r="A67" s="13">
        <v>4.3</v>
      </c>
      <c r="C67" s="13" t="s">
        <v>914</v>
      </c>
      <c r="D67" t="s">
        <v>890</v>
      </c>
      <c r="E67" s="11" t="s">
        <v>728</v>
      </c>
      <c r="F67" s="242" t="str">
        <f t="shared" si="2"/>
        <v>YES</v>
      </c>
      <c r="G67" s="143" t="s">
        <v>39</v>
      </c>
      <c r="H67" s="143" t="s">
        <v>39</v>
      </c>
      <c r="I67" s="143" t="s">
        <v>39</v>
      </c>
      <c r="J67" s="143" t="s">
        <v>39</v>
      </c>
      <c r="K67" s="143" t="s">
        <v>41</v>
      </c>
      <c r="L67" s="134"/>
      <c r="M67" s="134"/>
      <c r="N67" s="134"/>
      <c r="O67" s="134"/>
      <c r="P67" s="134"/>
      <c r="Q67" s="551" t="s">
        <v>893</v>
      </c>
      <c r="R67" s="552"/>
      <c r="S67" s="551" t="s">
        <v>893</v>
      </c>
      <c r="T67" s="552"/>
    </row>
    <row r="68" spans="1:20" ht="10.5" hidden="1" customHeight="1">
      <c r="A68"/>
      <c r="B68"/>
      <c r="C68"/>
      <c r="D68"/>
      <c r="E68" s="13"/>
      <c r="L68"/>
      <c r="M68" s="134"/>
      <c r="N68" s="134"/>
      <c r="O68" s="134"/>
      <c r="P68" s="134"/>
    </row>
    <row r="69" spans="1:20" ht="22.5" customHeight="1">
      <c r="A69" s="15"/>
      <c r="D69" s="67"/>
      <c r="I69" s="520" t="s">
        <v>762</v>
      </c>
      <c r="J69" s="503"/>
      <c r="K69" s="150"/>
      <c r="M69" s="134"/>
      <c r="N69" s="134"/>
      <c r="O69" s="134"/>
      <c r="P69" s="134"/>
    </row>
    <row r="70" spans="1:20" ht="9.75" hidden="1" customHeight="1">
      <c r="A70" s="15"/>
      <c r="D70" s="67"/>
      <c r="L70" s="15"/>
      <c r="M70" s="134"/>
      <c r="N70" s="134"/>
      <c r="O70" s="134"/>
      <c r="P70" s="134"/>
    </row>
    <row r="71" spans="1:20" ht="50.15" customHeight="1">
      <c r="A71" s="521" t="s">
        <v>878</v>
      </c>
      <c r="B71" s="526"/>
      <c r="D71" s="525" t="str">
        <f>uniform!B19&amp;IF(COUNTIF(F65:F67,"Partially")+COUNTIF(F65:F67,"NO")&gt;0,B18,D18)</f>
        <v>The factory explicitly includes in their policies and procedures that they would not discriminate against any worker based on age, race, caste, religion, gender, disability, national origin, sexual orientation, social class, union membership, political opinion or marital status identity in hiring and employment practices such as applications for employment, promotions, rewards, access to training, job assignments, wages, benefits, discipline, and termination. The overtime work was fairly distributed to all workers, there was no discrimination on the overtime work opportunity. The factory communicated anti-discrimination policy to all employees through orientation training, employee handbook and notice board. Based on satisfactory evidence, the factory respects this principle.</v>
      </c>
      <c r="E71" s="515"/>
      <c r="F71" s="515"/>
      <c r="G71" s="515"/>
      <c r="H71" s="515"/>
      <c r="I71" s="515"/>
      <c r="J71" s="515"/>
      <c r="K71" s="516"/>
      <c r="L71" s="135"/>
      <c r="M71" s="134"/>
      <c r="N71" s="134"/>
      <c r="O71" s="134"/>
      <c r="P71" s="134"/>
    </row>
    <row r="72" spans="1:20" ht="15.5">
      <c r="A72" s="527"/>
      <c r="B72" s="528"/>
      <c r="D72" s="517"/>
      <c r="E72" s="518"/>
      <c r="F72" s="518"/>
      <c r="G72" s="518"/>
      <c r="H72" s="518"/>
      <c r="I72" s="518"/>
      <c r="J72" s="518"/>
      <c r="K72" s="519"/>
      <c r="L72" s="136"/>
      <c r="M72" s="134"/>
      <c r="N72" s="134"/>
      <c r="O72" s="134"/>
      <c r="P72" s="134"/>
    </row>
    <row r="73" spans="1:20" ht="50.15" customHeight="1">
      <c r="A73" s="521" t="s">
        <v>877</v>
      </c>
      <c r="B73" s="526"/>
      <c r="D73" s="525" t="str">
        <f>uniform!B20&amp;IF(COUNTIF(F65:F67,"Partially")+COUNTIF(F65:F67,"NO")&gt;0,E18,F18)</f>
        <v>公司在其政策和程序中明确规定，他们不会在招聘和雇佣实践中基于年龄、种族、种姓、宗教、性别、残疾、国籍、性取向、社会阶层、工会成员、政治观点或婚姻状况身份歧视任何工人，例如申请就业、晋升、奖励、培训、工作分配、工资、福利、纪律和解雇。加班工作公平分配给所有工人，在加班机会上没有歧视。工厂通过入职培训、员工手册和布告栏向所有员工传达反歧视政策。基于令人满意的证据，工厂尊重本条原则。</v>
      </c>
      <c r="E73" s="515"/>
      <c r="F73" s="515"/>
      <c r="G73" s="515"/>
      <c r="H73" s="515"/>
      <c r="I73" s="515"/>
      <c r="J73" s="515"/>
      <c r="K73" s="516"/>
      <c r="L73" s="135"/>
      <c r="M73" s="134"/>
      <c r="N73" s="134"/>
      <c r="O73" s="134"/>
      <c r="P73" s="134"/>
    </row>
    <row r="74" spans="1:20" ht="15.5">
      <c r="A74" s="527"/>
      <c r="B74" s="528"/>
      <c r="D74" s="517"/>
      <c r="E74" s="518"/>
      <c r="F74" s="518"/>
      <c r="G74" s="518"/>
      <c r="H74" s="518"/>
      <c r="I74" s="518"/>
      <c r="J74" s="518"/>
      <c r="K74" s="519"/>
      <c r="L74" s="136"/>
      <c r="M74" s="134"/>
      <c r="N74" s="134"/>
      <c r="O74" s="134"/>
      <c r="P74" s="134"/>
    </row>
    <row r="75" spans="1:20" ht="24.75" hidden="1" customHeight="1">
      <c r="A75" s="521" t="s">
        <v>42</v>
      </c>
      <c r="B75" s="522"/>
      <c r="D75" s="525" t="s">
        <v>93</v>
      </c>
      <c r="E75" s="515"/>
      <c r="F75" s="515"/>
      <c r="G75" s="515"/>
      <c r="H75" s="515"/>
      <c r="I75" s="515"/>
      <c r="J75" s="515"/>
      <c r="K75" s="516"/>
      <c r="L75" s="137"/>
      <c r="M75" s="134"/>
      <c r="N75" s="134"/>
      <c r="O75" s="134"/>
      <c r="P75" s="134"/>
    </row>
    <row r="76" spans="1:20" ht="15.5" hidden="1">
      <c r="A76" s="523"/>
      <c r="B76" s="524"/>
      <c r="D76" s="517"/>
      <c r="E76" s="518"/>
      <c r="F76" s="518"/>
      <c r="G76" s="518"/>
      <c r="H76" s="518"/>
      <c r="I76" s="518"/>
      <c r="J76" s="518"/>
      <c r="K76" s="519"/>
      <c r="L76" s="138"/>
      <c r="M76" s="134"/>
      <c r="N76" s="134"/>
      <c r="O76" s="134"/>
      <c r="P76" s="134"/>
    </row>
    <row r="77" spans="1:20" ht="14.25" hidden="1" customHeight="1">
      <c r="A77" s="13"/>
      <c r="D77" s="67"/>
      <c r="F77" s="125"/>
      <c r="G77" s="126"/>
      <c r="H77" s="126"/>
      <c r="I77" s="126"/>
      <c r="J77" s="126"/>
      <c r="K77" s="126"/>
      <c r="M77" s="134"/>
      <c r="N77" s="134"/>
      <c r="O77" s="134"/>
      <c r="P77" s="134"/>
    </row>
    <row r="78" spans="1:20" ht="27" customHeight="1">
      <c r="A78" s="56" t="s">
        <v>21</v>
      </c>
      <c r="B78" s="18"/>
      <c r="D78" s="56"/>
      <c r="E78" s="17" t="str">
        <f>IF(COUNTIF(F81:F86,"Partially")+COUNTIF(F81:F86,"NO")&gt;0,"Failed","Perfect")</f>
        <v>Failed</v>
      </c>
      <c r="F78" s="56"/>
      <c r="G78" s="541" t="s">
        <v>871</v>
      </c>
      <c r="H78" s="541"/>
      <c r="I78" s="541"/>
      <c r="J78" s="541"/>
      <c r="K78" s="541"/>
      <c r="M78" s="134"/>
      <c r="N78" s="134"/>
      <c r="O78" s="134"/>
      <c r="P78" s="134"/>
    </row>
    <row r="79" spans="1:20" ht="48.75" customHeight="1">
      <c r="A79" s="128" t="s">
        <v>0</v>
      </c>
      <c r="B79" s="129" t="s">
        <v>760</v>
      </c>
      <c r="D79" s="133" t="s">
        <v>1</v>
      </c>
      <c r="E79" s="129" t="s">
        <v>665</v>
      </c>
      <c r="F79" s="133" t="s">
        <v>697</v>
      </c>
      <c r="G79" s="540" t="s">
        <v>43</v>
      </c>
      <c r="H79" s="530"/>
      <c r="I79" s="530"/>
      <c r="J79" s="530"/>
      <c r="K79" s="503"/>
      <c r="M79" s="134"/>
      <c r="N79" s="134"/>
      <c r="O79" s="134"/>
      <c r="P79" s="134"/>
      <c r="Q79" s="540" t="s">
        <v>879</v>
      </c>
      <c r="R79" s="549"/>
      <c r="S79" s="549"/>
      <c r="T79" s="550"/>
    </row>
    <row r="80" spans="1:20" ht="22.5" customHeight="1">
      <c r="A80" s="2"/>
      <c r="B80" s="5"/>
      <c r="D80" s="68"/>
      <c r="E80" s="5"/>
      <c r="F80" s="133"/>
      <c r="G80" s="133" t="s">
        <v>44</v>
      </c>
      <c r="H80" s="133" t="s">
        <v>45</v>
      </c>
      <c r="I80" s="133" t="s">
        <v>46</v>
      </c>
      <c r="J80" s="133" t="s">
        <v>47</v>
      </c>
      <c r="K80" s="133" t="s">
        <v>847</v>
      </c>
      <c r="M80" s="134"/>
      <c r="N80" s="134"/>
      <c r="O80" s="134"/>
      <c r="P80" s="134"/>
      <c r="Q80" s="540" t="s">
        <v>17</v>
      </c>
      <c r="R80" s="550"/>
      <c r="S80" s="540" t="s">
        <v>880</v>
      </c>
      <c r="T80" s="550"/>
    </row>
    <row r="81" spans="1:20" ht="15.5">
      <c r="A81" s="13">
        <v>5.0999999999999996</v>
      </c>
      <c r="C81" s="13" t="s">
        <v>915</v>
      </c>
      <c r="D81" t="s">
        <v>626</v>
      </c>
      <c r="E81" s="8" t="s">
        <v>704</v>
      </c>
      <c r="F81" s="242" t="str">
        <f>IF(Q81="","YES","PARTIALLY")</f>
        <v>YES</v>
      </c>
      <c r="G81" s="143" t="s">
        <v>39</v>
      </c>
      <c r="H81" s="143" t="s">
        <v>39</v>
      </c>
      <c r="I81" s="143" t="s">
        <v>39</v>
      </c>
      <c r="J81" s="143" t="s">
        <v>39</v>
      </c>
      <c r="K81" s="143" t="s">
        <v>41</v>
      </c>
      <c r="L81" s="134"/>
      <c r="M81" s="134"/>
      <c r="N81" s="134"/>
      <c r="O81" s="134"/>
      <c r="P81" s="134"/>
      <c r="Q81" s="551" t="str">
        <f>IF(uniform!F23&lt;uniform!B23,Reference!B32&amp;"&lt;br&gt;"&amp;Reference!B33,"")</f>
        <v/>
      </c>
      <c r="R81" s="552"/>
      <c r="S81" s="551" t="str">
        <f>IF(uniform!F23&lt;uniform!B23,Reference!B34&amp;"&lt;br&gt;"&amp;Reference!B35,"")</f>
        <v/>
      </c>
      <c r="T81" s="552"/>
    </row>
    <row r="82" spans="1:20" ht="41.25" customHeight="1">
      <c r="A82" s="13">
        <v>5.2</v>
      </c>
      <c r="C82" s="13" t="s">
        <v>916</v>
      </c>
      <c r="D82" t="s">
        <v>268</v>
      </c>
      <c r="E82" s="11" t="s">
        <v>728</v>
      </c>
      <c r="F82" s="242" t="str">
        <f t="shared" ref="F82:F86" si="3">IF(Q82="","YES","PARTIALLY")</f>
        <v>PARTIALLY</v>
      </c>
      <c r="G82" s="143" t="s">
        <v>39</v>
      </c>
      <c r="H82" s="143" t="s">
        <v>39</v>
      </c>
      <c r="I82" s="143" t="s">
        <v>39</v>
      </c>
      <c r="J82" s="143" t="s">
        <v>39</v>
      </c>
      <c r="K82" s="143" t="s">
        <v>41</v>
      </c>
      <c r="L82" s="134"/>
      <c r="M82" s="134"/>
      <c r="N82" s="134"/>
      <c r="O82" s="134"/>
      <c r="P82" s="134"/>
      <c r="Q82" s="551" t="str">
        <f>IF(uniform!E33=FALSE,Reference!B38&amp;CHAR(10)&amp;Reference!B39,"")&amp;IF(uniform!G33=FALSE,CHAR(10)&amp;CHAR(10)&amp;Reference!B44&amp;CHAR(10)&amp;Reference!B45,"")&amp;IF(uniform!H33=FALSE,CHAR(10)&amp;CHAR(10)&amp;Reference!B50&amp;CHAR(10)&amp;Reference!B51,"")&amp;IF(uniform!I33=FALSE,CHAR(10)&amp;CHAR(10)&amp;Reference!B56&amp;CHAR(10)&amp;Reference!B57,"")</f>
        <v xml:space="preserve">
Wages of last month for resigned / terminated employees were paid on the 30th day after they left the factory.  
Law Reference: Article 13 of Regulation of Guangdong Province on the Payment of Wages. </v>
      </c>
      <c r="R82" s="552"/>
      <c r="S82" s="551" t="str">
        <f>IF(uniform!E33=FALSE,Reference!B40&amp;CHAR(10)&amp;Reference!B41,"")&amp;IF(uniform!G33=FALSE,CHAR(10)&amp;CHAR(10)&amp;Reference!B46&amp;CHAR(10)&amp;Reference!B47,"")&amp;IF(uniform!H33=FALSE,CHAR(10)&amp;CHAR(10)&amp;Reference!B52&amp;CHAR(10)&amp;Reference!B53,"")&amp;IF(uniform!I33=FALSE,CHAR(10)&amp;CHAR(10)&amp;Reference!B58&amp;CHAR(10)&amp;Reference!B59,"")</f>
        <v xml:space="preserve">
离职人员的工资在下个月才发放，比法律要求的晚了30天。
根据《广东省工资支付条例》第13条。</v>
      </c>
      <c r="T82" s="552"/>
    </row>
    <row r="83" spans="1:20" ht="39.75" customHeight="1">
      <c r="A83" s="13">
        <v>5.3</v>
      </c>
      <c r="C83" s="13" t="s">
        <v>917</v>
      </c>
      <c r="D83" t="s">
        <v>627</v>
      </c>
      <c r="E83" s="11" t="s">
        <v>728</v>
      </c>
      <c r="F83" s="242" t="str">
        <f t="shared" si="3"/>
        <v>YES</v>
      </c>
      <c r="G83" s="143" t="s">
        <v>39</v>
      </c>
      <c r="H83" s="143" t="s">
        <v>39</v>
      </c>
      <c r="I83" s="143" t="s">
        <v>39</v>
      </c>
      <c r="J83" s="143" t="s">
        <v>39</v>
      </c>
      <c r="K83" s="143" t="s">
        <v>41</v>
      </c>
      <c r="L83" s="134"/>
      <c r="M83" s="134"/>
      <c r="N83" s="134"/>
      <c r="O83" s="134"/>
      <c r="P83" s="134"/>
      <c r="Q83" s="551" t="s">
        <v>893</v>
      </c>
      <c r="R83" s="552"/>
      <c r="S83" s="551" t="s">
        <v>893</v>
      </c>
      <c r="T83" s="552"/>
    </row>
    <row r="84" spans="1:20" ht="15.5">
      <c r="A84" s="13">
        <v>5.4</v>
      </c>
      <c r="C84" s="13" t="s">
        <v>918</v>
      </c>
      <c r="D84" t="s">
        <v>628</v>
      </c>
      <c r="E84" s="11" t="s">
        <v>728</v>
      </c>
      <c r="F84" s="242" t="str">
        <f t="shared" si="3"/>
        <v>PARTIALLY</v>
      </c>
      <c r="G84" s="143" t="s">
        <v>39</v>
      </c>
      <c r="H84" s="143" t="s">
        <v>39</v>
      </c>
      <c r="I84" s="143" t="s">
        <v>39</v>
      </c>
      <c r="J84" s="143" t="s">
        <v>39</v>
      </c>
      <c r="K84" s="143" t="s">
        <v>41</v>
      </c>
      <c r="L84" s="134"/>
      <c r="M84" s="134"/>
      <c r="N84" s="134"/>
      <c r="O84" s="134"/>
      <c r="P84" s="134"/>
      <c r="Q84" s="551" t="str">
        <f>IF(uniform!K33=FALSE,Reference!B62,"")</f>
        <v>Based on personnel interview, site observation, and document review, it was noted that the factory knows about the basic living wage, but does not calculate the local basic living wage in detail, This violates the requirements of the BSCI Code of Conduct.  Therefore, the auditor used the basic living wage CNY 3234.74 which was calculated through Anker’s methodology based on the data from local government. The total income during regular working hours for 5 out of 6 sampled workers was CNY3100 per month,  which was lower than the calculated basic living wage level. Due to the high probability of problems occurring in sampling, this problem is rated as No.</v>
      </c>
      <c r="R84" s="552"/>
      <c r="S84" s="551" t="str">
        <f>IF(uniform!K33=FALSE,Reference!B63,"")</f>
        <v>根据人员访谈，现场观察和文件查阅，发现工厂对基本生活工资有所了解，但并没有详细计算当地基本生活工资的数据，这违反了BSCI行为准则的要求。因此，审计员使用了根据Anker方法基于当地政府数据计算出的生活需求工资3234.74元。总共6个抽样人员中有5个在正常工作时间内的总收入为每月3100元，低于计算好的生活需求工资水平。由于抽样中问题发生的概率较高，本问题被评分为不符合.</v>
      </c>
      <c r="T84" s="552"/>
    </row>
    <row r="85" spans="1:20" ht="74.25" customHeight="1">
      <c r="A85" s="13">
        <v>5.5</v>
      </c>
      <c r="C85" s="13" t="s">
        <v>919</v>
      </c>
      <c r="D85" t="s">
        <v>629</v>
      </c>
      <c r="F85" s="242" t="str">
        <f>IF(Q85="","YES","NO")</f>
        <v>NO</v>
      </c>
      <c r="G85" s="143" t="s">
        <v>39</v>
      </c>
      <c r="H85" s="143" t="s">
        <v>39</v>
      </c>
      <c r="I85" s="143" t="s">
        <v>39</v>
      </c>
      <c r="J85" s="143" t="s">
        <v>39</v>
      </c>
      <c r="K85" s="143" t="s">
        <v>41</v>
      </c>
      <c r="L85" s="134"/>
      <c r="M85" s="134"/>
      <c r="N85" s="134"/>
      <c r="O85" s="134"/>
      <c r="P85" s="134"/>
      <c r="Q85" s="551" t="str">
        <f>IF(AND(F19&gt;=100%,G19&gt;=100%,H19&gt;=100%,I19&gt;=100%,J19&gt;=100%), "",uniform!B49)&amp;IF(uniform!L33=TRUE,"",Reference!B70&amp;Reference!B71)</f>
        <v>Based on personnel interview, site observation, and document review, it was noted that the social insurance participants were not sufficient. 
According to social insurance records of 04/2025, there were total 39 workers in that month, among whom 39 workers (total number subtract 0 retired workers) were eligible to participate in social insurance, and the actual participation number and ratio was listed as below: Pension insurance: 16 (41.03%), Unemployment insurance: 16 (41.03%), Medical insurance: 16 (41.03%), Maternity insurance: 16 (41.03%), Injury insurance: 16 (41.03%). 
There was no temporary, dispatched or newly joined worker. Some workers had no willingness to participate in social insurance. There was no government waiver. The factory also purchased group commercial injury insurance for 40 workers with a valid period to 31/12/2025. Therefore, all workers were covered by injury insurance.
This violates the requirements of PRC Labor Act, Article 72 and 73. According to above mentioned proportion of insurance participants, this question is rated as No.</v>
      </c>
      <c r="R85" s="552"/>
      <c r="S85" s="551" t="str">
        <f>IF(AND(F19&gt;=100%,G19&gt;=100%,H19&gt;=100%,I19&gt;=100%,J19&gt;=100%), "",uniform!B50)&amp;CHAR(10)&amp;IF(uniform!L33=TRUE,"",Reference!B72&amp;Reference!B73)</f>
        <v xml:space="preserve">根据人员访谈，现场观察和文件查阅，发现社保参保人数不足。
根据04/2025社保记录，当月有39名员工，其中 39 名员工 (总人数减去退休0人) 应当参加社会保险，实际的参保人数和比例如下：养老保险:16 (41.03%), 失业保险:16 (41.03%)，医疗保险:16 (41.03%)，生育保险:16 (41.03%)，工伤保险:16 (41.03%)。
没有临时工、派遣工和新入职人员；部分工人不愿意参与社保，没有政府豁免文件。工厂为40名员工购买了商业团体意外险，有效期到31/12/2025，因此所有人被工伤保险覆盖。
这违反了《劳动法》第72和73条的要求。根据上述参保人数的比例，此问题点被评分为不符合。
</v>
      </c>
      <c r="T85" s="552"/>
    </row>
    <row r="86" spans="1:20" ht="36.75" customHeight="1">
      <c r="A86" s="13">
        <v>5.6</v>
      </c>
      <c r="C86" s="13" t="s">
        <v>920</v>
      </c>
      <c r="D86" t="s">
        <v>630</v>
      </c>
      <c r="E86" s="8" t="s">
        <v>704</v>
      </c>
      <c r="F86" s="242" t="str">
        <f t="shared" si="3"/>
        <v>YES</v>
      </c>
      <c r="G86" s="143" t="s">
        <v>39</v>
      </c>
      <c r="H86" s="143" t="s">
        <v>39</v>
      </c>
      <c r="I86" s="143" t="s">
        <v>39</v>
      </c>
      <c r="J86" s="143" t="s">
        <v>39</v>
      </c>
      <c r="K86" s="143" t="s">
        <v>41</v>
      </c>
      <c r="L86" s="134"/>
      <c r="M86" s="134"/>
      <c r="N86" s="134"/>
      <c r="O86" s="134"/>
      <c r="P86" s="134"/>
      <c r="Q86" s="551" t="s">
        <v>893</v>
      </c>
      <c r="R86" s="552"/>
      <c r="S86" s="551" t="s">
        <v>893</v>
      </c>
      <c r="T86" s="552"/>
    </row>
    <row r="87" spans="1:20" ht="9" hidden="1" customHeight="1">
      <c r="A87"/>
      <c r="B87"/>
      <c r="C87"/>
      <c r="D87"/>
      <c r="E87" s="13"/>
      <c r="L87" s="139"/>
      <c r="M87" s="134"/>
      <c r="N87" s="134"/>
      <c r="O87" s="134"/>
      <c r="P87" s="134"/>
    </row>
    <row r="88" spans="1:20" ht="22.5" customHeight="1">
      <c r="A88" s="15"/>
      <c r="D88" s="67"/>
      <c r="I88" s="520" t="s">
        <v>762</v>
      </c>
      <c r="J88" s="503"/>
      <c r="K88" s="150"/>
      <c r="L88" s="139"/>
      <c r="M88" s="134"/>
      <c r="N88" s="134"/>
      <c r="O88" s="134"/>
      <c r="P88" s="134"/>
    </row>
    <row r="89" spans="1:20" ht="9" customHeight="1">
      <c r="A89" s="15"/>
      <c r="D89" s="67" t="str">
        <f>MID(D90,1,FIND("Payroll records included",D90,1)-1)</f>
        <v xml:space="preserve">The legal minimum wage standard was CNY2500 per month or CNY14.37 per hour since 03/2025. Payroll records were provided for review. The factory paid a lowest basic wage of CNY 3000 per month, which was higher than the legal minimum wage standard. Wages were calculated on hourly basis and were paid by the 30th day of the following month. </v>
      </c>
      <c r="M89" s="134"/>
      <c r="N89" s="134"/>
      <c r="O89" s="134"/>
      <c r="P89" s="134"/>
    </row>
    <row r="90" spans="1:20" ht="50.15" customHeight="1">
      <c r="A90" s="521" t="s">
        <v>878</v>
      </c>
      <c r="B90" s="526"/>
      <c r="D90" s="542" t="str">
        <f>uniform!B35&amp;IF(COUNTIF(F81:F86,"Partially")+COUNTIF(F81:F86,"NO")&gt;0,B18,D18)&amp;CHAR(10)&amp;Reference!B64</f>
        <v>The legal minimum wage standard was CNY2500 per month or CNY14.37 per hour since 03/2025. Payroll records were provided for review. The factory paid a lowest basic wage of CNY 3000 per month, which was higher than the legal minimum wage standard. Wages were calculated on hourly basis and were paid by the 30th day of the following month. Payroll records included mandatory items such as payment date, overtime premium, workers signature. Pay slip was given to each worker every month. Wages were paid on time, there was no delay payment history. Workers could be entitled with paid annual leave benefits. Based on satisfactory evidence, the factory partially respects this principle.
#LivingWage: [The audited factory was located in Guangzhou City, which cannot be found on the GLWC website. So the auditor used the basic living wage CNY3234.74, which was manually collected and calculated by the auditor through Anker's methodology. The Living wage calculation technique used by the auditor is to be inquired the resident consumption parameters published on the local government's public website and yearbook. Afterwards, there are calculated the relevant data of local living wage according to the proportion of Anker methodology of the key parameters. Relevant data comes from the website or yearbook data published by the local government. BLW calculation manually collected by the auditor is uploaded as part of the report attachments.]</v>
      </c>
      <c r="E90" s="515"/>
      <c r="F90" s="515"/>
      <c r="G90" s="515"/>
      <c r="H90" s="515"/>
      <c r="I90" s="515"/>
      <c r="J90" s="515"/>
      <c r="K90" s="516"/>
      <c r="L90" s="135"/>
      <c r="M90" s="134"/>
      <c r="N90" s="134"/>
      <c r="O90" s="134"/>
      <c r="P90" s="134"/>
    </row>
    <row r="91" spans="1:20" ht="48.75" customHeight="1">
      <c r="A91" s="527"/>
      <c r="B91" s="528"/>
      <c r="D91" s="517"/>
      <c r="E91" s="518"/>
      <c r="F91" s="518"/>
      <c r="G91" s="518"/>
      <c r="H91" s="518"/>
      <c r="I91" s="518"/>
      <c r="J91" s="518"/>
      <c r="K91" s="519"/>
      <c r="L91" s="136"/>
      <c r="M91" s="134"/>
      <c r="N91" s="134"/>
      <c r="O91" s="134"/>
      <c r="P91" s="134"/>
    </row>
    <row r="92" spans="1:20" ht="50.15" customHeight="1">
      <c r="A92" s="521" t="s">
        <v>877</v>
      </c>
      <c r="B92" s="526"/>
      <c r="D92" s="542" t="str">
        <f>uniform!B36&amp;IF(COUNTIF(F81:F86,"Partially")+COUNTIF(F81:F86,"NO")&gt;0,E18,F18)&amp;CHAR(10)&amp;Reference!B65</f>
        <v>从03/2025起，当地最低工资标准是每月2500元或者每小时14.37元。工资表被提供给了审核。工厂支付的最低基本工资是每月3000元，高于法定最低工资标准。工资以计算，下月30号之前发放；工资表列明了必备项目例如支付日期，加班费，员工签名等。每月都会发放工资条给员工。工资准时发放，没有迟发工资的记录。员工享有带薪年休假的福利。基于令人满意的证据，工厂部分尊重本条原则。
#生活工资：[被审核工厂位于市，无法从GLWC网站上寻找到相应数据。因此审核员采用基本生活工资为3234.74元，其为审核员采用恩格尔方法人工计算所得。审核员采用的生活工资计算方法是从当地政府公开网站上以及地方年鉴上获得居民消费参数，然后根据恩格尔方法的比例计算相应的生活工资数据。相应的数据来源于当地政府公布的数据或当地年鉴，而基本生活工资计算收集信息作为附件上传了平台。]</v>
      </c>
      <c r="E92" s="515"/>
      <c r="F92" s="515"/>
      <c r="G92" s="515"/>
      <c r="H92" s="515"/>
      <c r="I92" s="515"/>
      <c r="J92" s="515"/>
      <c r="K92" s="516"/>
      <c r="L92" s="135"/>
      <c r="M92" s="134"/>
      <c r="N92" s="134"/>
      <c r="O92" s="134"/>
      <c r="P92" s="134"/>
    </row>
    <row r="93" spans="1:20" ht="15.5">
      <c r="A93" s="527"/>
      <c r="B93" s="528"/>
      <c r="D93" s="517"/>
      <c r="E93" s="518"/>
      <c r="F93" s="518"/>
      <c r="G93" s="518"/>
      <c r="H93" s="518"/>
      <c r="I93" s="518"/>
      <c r="J93" s="518"/>
      <c r="K93" s="519"/>
      <c r="L93" s="136"/>
      <c r="M93" s="134"/>
      <c r="N93" s="134"/>
      <c r="O93" s="134"/>
      <c r="P93" s="134"/>
    </row>
    <row r="94" spans="1:20" ht="24" hidden="1" customHeight="1">
      <c r="A94" s="521" t="s">
        <v>42</v>
      </c>
      <c r="B94" s="522"/>
      <c r="D94" s="525" t="s">
        <v>93</v>
      </c>
      <c r="E94" s="515"/>
      <c r="F94" s="515"/>
      <c r="G94" s="515"/>
      <c r="H94" s="515"/>
      <c r="I94" s="515"/>
      <c r="J94" s="515"/>
      <c r="K94" s="516"/>
      <c r="L94" s="137"/>
      <c r="M94" s="134"/>
      <c r="N94" s="134"/>
      <c r="O94" s="134"/>
      <c r="P94" s="134"/>
    </row>
    <row r="95" spans="1:20" ht="15.5" hidden="1">
      <c r="A95" s="523"/>
      <c r="B95" s="524"/>
      <c r="D95" s="517"/>
      <c r="E95" s="518"/>
      <c r="F95" s="518"/>
      <c r="G95" s="518"/>
      <c r="H95" s="518"/>
      <c r="I95" s="518"/>
      <c r="J95" s="518"/>
      <c r="K95" s="519"/>
      <c r="L95" s="138"/>
      <c r="M95" s="134"/>
      <c r="N95" s="134"/>
      <c r="O95" s="134"/>
      <c r="P95" s="134"/>
    </row>
    <row r="97" spans="1:20" ht="28.5" customHeight="1">
      <c r="A97" s="56" t="s">
        <v>22</v>
      </c>
      <c r="B97" s="18"/>
      <c r="D97" s="56"/>
      <c r="E97" s="17" t="str">
        <f>IF(COUNTIF(F100:F103,"Partially")+COUNTIF(F100:F103,"NO")&gt;0,"Failed","Perfect")</f>
        <v>Failed</v>
      </c>
      <c r="F97" s="56"/>
      <c r="G97" s="541" t="s">
        <v>871</v>
      </c>
      <c r="H97" s="541"/>
      <c r="I97" s="541"/>
      <c r="J97" s="541"/>
      <c r="K97" s="541"/>
      <c r="M97" s="134"/>
      <c r="N97" s="134"/>
      <c r="O97" s="134"/>
      <c r="P97" s="134"/>
    </row>
    <row r="98" spans="1:20" ht="48.75" customHeight="1">
      <c r="A98" s="128" t="s">
        <v>0</v>
      </c>
      <c r="B98" s="129" t="s">
        <v>760</v>
      </c>
      <c r="D98" s="133" t="s">
        <v>1</v>
      </c>
      <c r="E98" s="129" t="s">
        <v>665</v>
      </c>
      <c r="F98" s="133" t="s">
        <v>697</v>
      </c>
      <c r="G98" s="540" t="s">
        <v>43</v>
      </c>
      <c r="H98" s="530"/>
      <c r="I98" s="530"/>
      <c r="J98" s="530"/>
      <c r="K98" s="503"/>
      <c r="M98" s="134"/>
      <c r="N98" s="134"/>
      <c r="O98" s="134"/>
      <c r="P98" s="134"/>
      <c r="Q98" s="540" t="s">
        <v>879</v>
      </c>
      <c r="R98" s="549"/>
      <c r="S98" s="549"/>
      <c r="T98" s="550"/>
    </row>
    <row r="99" spans="1:20" ht="24" customHeight="1">
      <c r="A99" s="2"/>
      <c r="B99" s="5"/>
      <c r="D99" s="68"/>
      <c r="E99" s="5"/>
      <c r="F99" s="133"/>
      <c r="G99" s="133" t="s">
        <v>44</v>
      </c>
      <c r="H99" s="133" t="s">
        <v>45</v>
      </c>
      <c r="I99" s="133" t="s">
        <v>46</v>
      </c>
      <c r="J99" s="133" t="s">
        <v>47</v>
      </c>
      <c r="K99" s="133" t="s">
        <v>847</v>
      </c>
      <c r="M99" s="134"/>
      <c r="N99" s="134"/>
      <c r="O99" s="134"/>
      <c r="P99" s="134"/>
      <c r="Q99" s="540" t="s">
        <v>17</v>
      </c>
      <c r="R99" s="550"/>
      <c r="S99" s="540" t="s">
        <v>880</v>
      </c>
      <c r="T99" s="550"/>
    </row>
    <row r="100" spans="1:20" ht="29">
      <c r="A100" s="13">
        <v>6.1</v>
      </c>
      <c r="C100" s="13" t="s">
        <v>921</v>
      </c>
      <c r="D100" s="71" t="s">
        <v>631</v>
      </c>
      <c r="E100" s="11" t="s">
        <v>728</v>
      </c>
      <c r="F100" s="242" t="str">
        <f>IF(Q100="","YES","PARTIALLY")</f>
        <v>YES</v>
      </c>
      <c r="G100" s="143" t="s">
        <v>39</v>
      </c>
      <c r="H100" s="143" t="s">
        <v>39</v>
      </c>
      <c r="I100" s="143" t="s">
        <v>39</v>
      </c>
      <c r="J100" s="143" t="s">
        <v>39</v>
      </c>
      <c r="K100" s="143" t="s">
        <v>39</v>
      </c>
      <c r="L100" s="134"/>
      <c r="M100" s="134"/>
      <c r="N100" s="134"/>
      <c r="O100" s="134"/>
      <c r="P100" s="134"/>
      <c r="Q100" s="551" t="s">
        <v>893</v>
      </c>
      <c r="R100" s="552"/>
      <c r="S100" s="551" t="s">
        <v>893</v>
      </c>
      <c r="T100" s="552"/>
    </row>
    <row r="101" spans="1:20" ht="75.75" customHeight="1">
      <c r="A101" s="13">
        <v>6.2</v>
      </c>
      <c r="C101" s="13" t="s">
        <v>922</v>
      </c>
      <c r="D101" s="71" t="s">
        <v>891</v>
      </c>
      <c r="E101" s="11" t="s">
        <v>728</v>
      </c>
      <c r="F101" s="242" t="str">
        <f>IF(Q101="","YES","NO")</f>
        <v>NO</v>
      </c>
      <c r="G101" s="143" t="s">
        <v>39</v>
      </c>
      <c r="H101" s="143" t="s">
        <v>39</v>
      </c>
      <c r="I101" s="143" t="s">
        <v>39</v>
      </c>
      <c r="J101" s="143" t="s">
        <v>39</v>
      </c>
      <c r="K101" s="143" t="s">
        <v>41</v>
      </c>
      <c r="L101" s="134"/>
      <c r="M101" s="134"/>
      <c r="N101" s="134"/>
      <c r="O101" s="134"/>
      <c r="P101" s="134"/>
      <c r="Q101" s="551" t="str">
        <f>uniform!B68</f>
        <v>Based on personnel interview, site observation, and document review, it was noted that the monthly overtime hours exceeded the legal limit of 36 hours. 
6 out of 6 workers overtime worked 48-50 hours in 04/2025 (last paid month); 
5 out of 6 workers overtime worked 38 hours in 01/2025 (random month); 
6 out of 6 workers overtime worked 40-62 hours in 11/2024 (random month). 
This violates Article 41 of the Labor Law of the People's Republic of China.
The workers' overtime work was voluntary. Due to the high frequency of excessive overtime, this issue is rated as No.</v>
      </c>
      <c r="R101" s="552"/>
      <c r="S101" s="551" t="str">
        <f>uniform!B69</f>
        <v>根据人员访谈，现场观察和文件查阅，发现月加班时间超出法律限定的36小时。
6/6名员工在04/2025月（最近发薪月）的加班时间为48-50小时; 
5/6名员工在01/2025月（随机抽选月份）的加班时间为38小时; 
6/6名员工在11/2024月（随机抽选月份）的加班时间为40-62小时。
这违反了《中华人民共和国劳动法》第41条的要求。
员工均为自愿加班。由于加班时间超时的频率较高，此问题被评分为不符合.</v>
      </c>
      <c r="T101" s="552"/>
    </row>
    <row r="102" spans="1:20" ht="29">
      <c r="A102" s="13">
        <v>6.3</v>
      </c>
      <c r="C102" s="13" t="s">
        <v>923</v>
      </c>
      <c r="D102" s="69" t="s">
        <v>271</v>
      </c>
      <c r="E102" s="8" t="s">
        <v>704</v>
      </c>
      <c r="F102" s="242" t="str">
        <f t="shared" ref="F102:F103" si="4">IF(Q102="","YES","PARTIALLY")</f>
        <v>YES</v>
      </c>
      <c r="G102" s="143" t="s">
        <v>39</v>
      </c>
      <c r="H102" s="143" t="s">
        <v>39</v>
      </c>
      <c r="I102" s="143" t="s">
        <v>39</v>
      </c>
      <c r="J102" s="143" t="s">
        <v>39</v>
      </c>
      <c r="K102" s="143" t="s">
        <v>41</v>
      </c>
      <c r="L102" s="134"/>
      <c r="M102" s="134"/>
      <c r="N102" s="134"/>
      <c r="O102" s="134"/>
      <c r="P102" s="134"/>
      <c r="Q102" s="551" t="s">
        <v>893</v>
      </c>
      <c r="R102" s="552"/>
      <c r="S102" s="551" t="s">
        <v>893</v>
      </c>
      <c r="T102" s="552"/>
    </row>
    <row r="103" spans="1:20" ht="29">
      <c r="A103" s="13">
        <v>6.4</v>
      </c>
      <c r="C103" s="13" t="s">
        <v>924</v>
      </c>
      <c r="D103" s="69" t="s">
        <v>263</v>
      </c>
      <c r="E103" s="8" t="s">
        <v>704</v>
      </c>
      <c r="F103" s="242" t="str">
        <f t="shared" si="4"/>
        <v>YES</v>
      </c>
      <c r="G103" s="143" t="s">
        <v>39</v>
      </c>
      <c r="H103" s="143" t="s">
        <v>39</v>
      </c>
      <c r="I103" s="143" t="s">
        <v>39</v>
      </c>
      <c r="J103" s="143" t="s">
        <v>39</v>
      </c>
      <c r="K103" s="143" t="s">
        <v>41</v>
      </c>
      <c r="L103" s="134"/>
      <c r="M103" s="134"/>
      <c r="N103" s="134"/>
      <c r="O103" s="134"/>
      <c r="P103" s="134"/>
      <c r="Q103" s="551" t="str">
        <f>IF(OR(uniform!I59&gt;6, uniform!I60&gt;6,uniform!I61&gt;6),Reference!B97&amp;"&lt;br&gt;"&amp;Reference!B98, "")</f>
        <v/>
      </c>
      <c r="R103" s="552"/>
      <c r="S103" s="551" t="str">
        <f>IF(OR(uniform!I59&gt;6, uniform!I60&gt;6,uniform!I61&gt;6),Reference!B99&amp;"&lt;br&gt;"&amp;Reference!B100, "")</f>
        <v/>
      </c>
      <c r="T103" s="552"/>
    </row>
    <row r="104" spans="1:20" ht="7.5" hidden="1" customHeight="1">
      <c r="A104"/>
      <c r="B104"/>
      <c r="C104"/>
      <c r="D104"/>
      <c r="E104" s="13"/>
      <c r="L104" s="139"/>
      <c r="M104" s="134"/>
      <c r="N104" s="134"/>
      <c r="O104" s="134"/>
      <c r="P104" s="134"/>
    </row>
    <row r="105" spans="1:20" ht="22.5" customHeight="1">
      <c r="A105" s="15"/>
      <c r="D105" s="67"/>
      <c r="I105" s="520" t="s">
        <v>762</v>
      </c>
      <c r="J105" s="503"/>
      <c r="K105" s="150"/>
      <c r="L105" s="139"/>
      <c r="M105" s="134"/>
      <c r="N105" s="134"/>
      <c r="O105" s="134"/>
      <c r="P105" s="134"/>
    </row>
    <row r="106" spans="1:20" ht="6" customHeight="1">
      <c r="A106" s="15"/>
      <c r="D106" s="67" t="str">
        <f>MID(D107,1,FIND("Based on",D107,1)-1)</f>
        <v xml:space="preserve">The regular shift was 8:00-12:00, 13:30-17:30. Workers voluntarily worked overtime for up to 2 hours on weekdays and for up to 8 hours a day on weekends if production required. The most consecutive working days were 6 days, which make sure workers can get at least one day off per 7-day period. Overtime on working days and off days would be paid 1.5 times and 2 times of normal wages respectively as overtime premium. 6 workers' attendance records were sampled for review.
04/2025 (last paid month) – standard weekly working hours (40) + maximum weekly OT (18), 
01/2025 (random month) – standard weekly working hours (40) + maximum weekly OT (18),
11/2024 (random month) – standard weekly working hours (40) + maximum weekly OT (18).
</v>
      </c>
      <c r="M106" s="134"/>
      <c r="N106" s="134"/>
      <c r="O106" s="134"/>
      <c r="P106" s="134"/>
    </row>
    <row r="107" spans="1:20" ht="50.15" customHeight="1">
      <c r="A107" s="521" t="s">
        <v>878</v>
      </c>
      <c r="B107" s="526"/>
      <c r="D107" s="542" t="str">
        <f>uniform!B66&amp;CHAR(10)&amp;IF(COUNTIF(F100:F103,"Partially")+COUNTIF(F100:F103,"NO")&gt;0,B18,D18)</f>
        <v>The regular shift was 8:00-12:00, 13:30-17:30. Workers voluntarily worked overtime for up to 2 hours on weekdays and for up to 8 hours a day on weekends if production required. The most consecutive working days were 6 days, which make sure workers can get at least one day off per 7-day period. Overtime on working days and off days would be paid 1.5 times and 2 times of normal wages respectively as overtime premium. 6 workers' attendance records were sampled for review.
04/2025 (last paid month) – standard weekly working hours (40) + maximum weekly OT (18), 
01/2025 (random month) – standard weekly working hours (40) + maximum weekly OT (18),
11/2024 (random month) – standard weekly working hours (40) + maximum weekly OT (18).
Based on satisfactory evidence, the factory partially respects this principle.</v>
      </c>
      <c r="E107" s="515"/>
      <c r="F107" s="515"/>
      <c r="G107" s="515"/>
      <c r="H107" s="515"/>
      <c r="I107" s="515"/>
      <c r="J107" s="515"/>
      <c r="K107" s="516"/>
      <c r="L107" s="135"/>
      <c r="M107" s="134"/>
      <c r="N107" s="134"/>
      <c r="O107" s="134"/>
      <c r="P107" s="134"/>
    </row>
    <row r="108" spans="1:20" ht="79" customHeight="1">
      <c r="A108" s="527"/>
      <c r="B108" s="528"/>
      <c r="D108" s="517"/>
      <c r="E108" s="518"/>
      <c r="F108" s="518"/>
      <c r="G108" s="518"/>
      <c r="H108" s="518"/>
      <c r="I108" s="518"/>
      <c r="J108" s="518"/>
      <c r="K108" s="519"/>
      <c r="L108" s="136"/>
      <c r="M108" s="134"/>
      <c r="N108" s="134"/>
      <c r="O108" s="134"/>
      <c r="P108" s="134"/>
    </row>
    <row r="109" spans="1:20" ht="50.15" customHeight="1">
      <c r="A109" s="521" t="s">
        <v>877</v>
      </c>
      <c r="B109" s="526"/>
      <c r="D109" s="542" t="str">
        <f>uniform!B67&amp;IF(COUNTIF(F100:F103,"Partially")+COUNTIF(F100:F103,"NO")&gt;0,E18,F18)</f>
        <v>常规工作时间是 8:00-12:00, 13:30-17:30. 在生产需要时，工人会在工作日自愿加班至多2 小时，在周末自愿加班至多8小时。最多连续工作6天，确保了员工能够每7天得到至少1天的休息。工作日加班和休息日加班被分别支付平时工资的1.5倍和2倍作为加班费。基于令人满意的证据，工厂部分尊重本条原则。</v>
      </c>
      <c r="E109" s="515"/>
      <c r="F109" s="515"/>
      <c r="G109" s="515"/>
      <c r="H109" s="515"/>
      <c r="I109" s="515"/>
      <c r="J109" s="515"/>
      <c r="K109" s="516"/>
      <c r="L109" s="135"/>
      <c r="M109" s="134"/>
      <c r="N109" s="134"/>
      <c r="O109" s="134"/>
      <c r="P109" s="134"/>
    </row>
    <row r="110" spans="1:20" ht="15.5">
      <c r="A110" s="527"/>
      <c r="B110" s="528"/>
      <c r="D110" s="517"/>
      <c r="E110" s="518"/>
      <c r="F110" s="518"/>
      <c r="G110" s="518"/>
      <c r="H110" s="518"/>
      <c r="I110" s="518"/>
      <c r="J110" s="518"/>
      <c r="K110" s="519"/>
      <c r="L110" s="136"/>
      <c r="M110" s="134"/>
      <c r="N110" s="134"/>
      <c r="O110" s="134"/>
      <c r="P110" s="134"/>
    </row>
    <row r="111" spans="1:20" ht="17.25" hidden="1" customHeight="1">
      <c r="A111" s="521" t="s">
        <v>42</v>
      </c>
      <c r="B111" s="522"/>
      <c r="D111" s="525" t="s">
        <v>93</v>
      </c>
      <c r="E111" s="515"/>
      <c r="F111" s="515"/>
      <c r="G111" s="515"/>
      <c r="H111" s="515"/>
      <c r="I111" s="515"/>
      <c r="J111" s="515"/>
      <c r="K111" s="516"/>
      <c r="L111" s="137"/>
      <c r="M111" s="134"/>
      <c r="N111" s="134"/>
      <c r="O111" s="134"/>
      <c r="P111" s="134"/>
    </row>
    <row r="112" spans="1:20" ht="15.5" hidden="1">
      <c r="A112" s="523"/>
      <c r="B112" s="524"/>
      <c r="D112" s="517"/>
      <c r="E112" s="518"/>
      <c r="F112" s="518"/>
      <c r="G112" s="518"/>
      <c r="H112" s="518"/>
      <c r="I112" s="518"/>
      <c r="J112" s="518"/>
      <c r="K112" s="519"/>
      <c r="L112" s="138"/>
      <c r="M112" s="134"/>
      <c r="N112" s="134"/>
      <c r="O112" s="134"/>
      <c r="P112" s="134"/>
    </row>
    <row r="114" spans="1:20" s="1" customFormat="1" ht="28.5" customHeight="1">
      <c r="A114" s="56" t="s">
        <v>23</v>
      </c>
      <c r="B114" s="18"/>
      <c r="C114" s="13"/>
      <c r="D114" s="56"/>
      <c r="E114" s="17" t="str">
        <f>IF(COUNTIF(F117:F141,"Partially")+COUNTIF(F117:F141,"NO")&gt;0,"Failed","Perfect")</f>
        <v>Failed</v>
      </c>
      <c r="F114" s="56"/>
      <c r="G114" s="541"/>
      <c r="H114" s="541"/>
      <c r="I114" s="541"/>
      <c r="J114" s="541"/>
      <c r="K114" s="541"/>
      <c r="L114" s="10"/>
      <c r="M114" s="134"/>
      <c r="N114" s="134"/>
      <c r="O114" s="134"/>
      <c r="P114" s="134"/>
      <c r="Q114" s="160"/>
      <c r="R114" s="160"/>
      <c r="S114" s="160"/>
      <c r="T114" s="160"/>
    </row>
    <row r="115" spans="1:20" ht="49.5" customHeight="1">
      <c r="A115" s="128" t="s">
        <v>0</v>
      </c>
      <c r="B115" s="129" t="s">
        <v>760</v>
      </c>
      <c r="D115" s="133" t="s">
        <v>1</v>
      </c>
      <c r="E115" s="129" t="s">
        <v>665</v>
      </c>
      <c r="F115" s="133" t="s">
        <v>697</v>
      </c>
      <c r="G115" s="540" t="s">
        <v>43</v>
      </c>
      <c r="H115" s="530"/>
      <c r="I115" s="530"/>
      <c r="J115" s="530"/>
      <c r="K115" s="503"/>
      <c r="M115" s="134"/>
      <c r="N115" s="134"/>
      <c r="O115" s="134"/>
      <c r="P115" s="134"/>
      <c r="Q115" s="540" t="s">
        <v>879</v>
      </c>
      <c r="R115" s="549"/>
      <c r="S115" s="549"/>
      <c r="T115" s="550"/>
    </row>
    <row r="116" spans="1:20" ht="24.75" customHeight="1">
      <c r="A116" s="2"/>
      <c r="B116" s="5"/>
      <c r="D116" s="68"/>
      <c r="E116" s="5"/>
      <c r="F116" s="133"/>
      <c r="G116" s="133" t="s">
        <v>44</v>
      </c>
      <c r="H116" s="133" t="s">
        <v>45</v>
      </c>
      <c r="I116" s="133" t="s">
        <v>46</v>
      </c>
      <c r="J116" s="133" t="s">
        <v>47</v>
      </c>
      <c r="K116" s="133" t="s">
        <v>847</v>
      </c>
      <c r="M116" s="134"/>
      <c r="N116" s="134"/>
      <c r="O116" s="134"/>
      <c r="P116" s="134"/>
      <c r="Q116" s="540" t="s">
        <v>17</v>
      </c>
      <c r="R116" s="550"/>
      <c r="S116" s="540" t="s">
        <v>880</v>
      </c>
      <c r="T116" s="550"/>
    </row>
    <row r="117" spans="1:20" ht="15.5">
      <c r="A117" s="13">
        <v>7.1</v>
      </c>
      <c r="B117" s="28" t="s">
        <v>741</v>
      </c>
      <c r="C117" s="13" t="s">
        <v>925</v>
      </c>
      <c r="D117" t="s">
        <v>632</v>
      </c>
      <c r="E117" s="11" t="s">
        <v>728</v>
      </c>
      <c r="F117" s="242" t="str">
        <f>IF(Q117="","YES","PARTIALLY")</f>
        <v>PARTIALLY</v>
      </c>
      <c r="G117" s="143" t="s">
        <v>39</v>
      </c>
      <c r="H117" s="143" t="s">
        <v>39</v>
      </c>
      <c r="I117" s="143" t="s">
        <v>39</v>
      </c>
      <c r="J117" s="143" t="s">
        <v>39</v>
      </c>
      <c r="K117" s="143" t="s">
        <v>39</v>
      </c>
      <c r="L117" s="134"/>
      <c r="M117" s="134"/>
      <c r="N117" s="134"/>
      <c r="O117" s="134"/>
      <c r="P117" s="134"/>
      <c r="Q117" s="551" t="str">
        <f>IF(uniform!B72=TRUE,"",Reference!B106&amp;CHAR(10)&amp;Reference!B107)&amp;CHAR(10)&amp;CHAR(10)&amp;IF(uniform!G112=TRUE,"",Reference!B112&amp;CHAR(10)&amp;Reference!B113)</f>
        <v xml:space="preserve">The goods in the finished product warehouse were stacked against the wall without a clearance of at least 0.5m.
Law Reference: Rules Concerning Warehouse Safety and Fire Control article 18.
</v>
      </c>
      <c r="R117" s="552"/>
      <c r="S117" s="551" t="str">
        <f>IF(uniform!B72=TRUE,"",Reference!B108&amp;CHAR(10)&amp;Reference!B109)&amp;CHAR(10)&amp;CHAR(10)&amp;IF(uniform!G112=TRUE,"",Reference!B114&amp;CHAR(10)&amp;Reference!B115)</f>
        <v xml:space="preserve">成品仓库货物靠墙堆放，没有留出至少0.5米的间隙。
根据《仓库防火安全管理规划》第18条。
</v>
      </c>
      <c r="T117" s="552"/>
    </row>
    <row r="118" spans="1:20" ht="15.5">
      <c r="A118" s="13">
        <v>7.2</v>
      </c>
      <c r="B118" s="28" t="s">
        <v>741</v>
      </c>
      <c r="C118" s="13" t="s">
        <v>926</v>
      </c>
      <c r="D118" t="s">
        <v>633</v>
      </c>
      <c r="E118" s="11" t="s">
        <v>728</v>
      </c>
      <c r="F118" s="166" t="s">
        <v>41</v>
      </c>
      <c r="G118" s="143" t="s">
        <v>39</v>
      </c>
      <c r="H118" s="143" t="s">
        <v>39</v>
      </c>
      <c r="I118" s="143" t="s">
        <v>39</v>
      </c>
      <c r="J118" s="143" t="s">
        <v>39</v>
      </c>
      <c r="K118" s="143" t="s">
        <v>39</v>
      </c>
      <c r="L118" s="134"/>
      <c r="M118" s="134"/>
      <c r="N118" s="134"/>
      <c r="O118" s="134"/>
      <c r="P118" s="134"/>
      <c r="Q118" s="551" t="str">
        <f>uniform!B73</f>
        <v>The injury insurance coverage ratio is 100%. According to social insurance records of 04/2025, there were total 39 workers in that month, among whom 16 (41.0%) workers participated in injury insurance. The factory also purchased group commercial injury insurance for 40 workers with a valid period to 31/12/2025. Therefore, all workers were covered by injury insurance. According to Social Insurance Law of the People's Republic of China; Article 33.</v>
      </c>
      <c r="R118" s="552"/>
      <c r="S118" s="551" t="str">
        <f>uniform!B74</f>
        <v>工伤参保比例是100%. 根据04/2025社保记录，当月有39名员工，其中16 (41.0%)人参加工伤保险。工厂为40名员工购买了商业团体意外险，有效期到31/12/2025，因此所有人被工伤保险覆盖。根据《中华人民共和国社会保险法》第三十三条。</v>
      </c>
      <c r="T118" s="552"/>
    </row>
    <row r="119" spans="1:20" ht="44.25" customHeight="1">
      <c r="A119" s="13">
        <v>7.3</v>
      </c>
      <c r="B119" s="28" t="s">
        <v>33</v>
      </c>
      <c r="C119" s="13" t="s">
        <v>927</v>
      </c>
      <c r="D119" t="s">
        <v>264</v>
      </c>
      <c r="E119" s="11" t="s">
        <v>728</v>
      </c>
      <c r="F119" s="166" t="str">
        <f>IF(Q119="","YES","PARTIALLY")</f>
        <v>YES</v>
      </c>
      <c r="G119" s="143" t="s">
        <v>39</v>
      </c>
      <c r="H119" s="143" t="s">
        <v>39</v>
      </c>
      <c r="I119" s="143" t="s">
        <v>39</v>
      </c>
      <c r="J119" s="143" t="s">
        <v>39</v>
      </c>
      <c r="K119" s="143" t="s">
        <v>39</v>
      </c>
      <c r="L119" s="134"/>
      <c r="M119" s="134"/>
      <c r="N119" s="134"/>
      <c r="O119" s="134"/>
      <c r="P119" s="134"/>
      <c r="Q119" s="551" t="str">
        <f>IF(uniform!C76=FALSE,Reference!B120&amp;CHAR(10)&amp;Reference!B121,"")&amp;IF(uniform!D76=FALSE,CHAR(10)&amp;CHAR(10)&amp;Reference!B126&amp;CHAR(10)&amp;Reference!B127,"")&amp;IF(uniform!B78=FALSE,CHAR(10)&amp;CHAR(10)&amp;Reference!B133,"")</f>
        <v/>
      </c>
      <c r="R119" s="552"/>
      <c r="S119" s="551" t="str">
        <f>IF(uniform!C76=FALSE, Reference!B122&amp;CHAR(10)&amp;Reference!B123,"")&amp;IF(uniform!D76=FALSE,CHAR(10)&amp;CHAR(10)&amp;Reference!B128&amp;CHAR(10)&amp;Reference!B129,"")&amp;IF(uniform!B78=FALSE,CHAR(10)&amp;CHAR(10)&amp;Reference!B134,"")</f>
        <v/>
      </c>
      <c r="T119" s="552"/>
    </row>
    <row r="120" spans="1:20" ht="51" customHeight="1">
      <c r="A120" s="13">
        <v>7.4</v>
      </c>
      <c r="B120" s="28" t="s">
        <v>33</v>
      </c>
      <c r="C120" s="13" t="s">
        <v>928</v>
      </c>
      <c r="D120" t="s">
        <v>6</v>
      </c>
      <c r="E120" s="11" t="s">
        <v>728</v>
      </c>
      <c r="F120" s="166" t="str">
        <f t="shared" ref="F120:F136" si="5">IF(Q120="","YES","PARTIALLY")</f>
        <v>YES</v>
      </c>
      <c r="G120" s="143" t="s">
        <v>39</v>
      </c>
      <c r="H120" s="143" t="s">
        <v>39</v>
      </c>
      <c r="I120" s="143" t="s">
        <v>39</v>
      </c>
      <c r="J120" s="143" t="s">
        <v>39</v>
      </c>
      <c r="K120" s="143" t="s">
        <v>39</v>
      </c>
      <c r="L120" s="134"/>
      <c r="M120" s="134"/>
      <c r="N120" s="134"/>
      <c r="O120" s="134"/>
      <c r="P120" s="134"/>
      <c r="Q120" s="551"/>
      <c r="R120" s="552"/>
      <c r="S120" s="551"/>
      <c r="T120" s="552"/>
    </row>
    <row r="121" spans="1:20" ht="15.5">
      <c r="A121" s="13">
        <v>7.5</v>
      </c>
      <c r="B121" s="132" t="s">
        <v>8</v>
      </c>
      <c r="C121" s="13" t="s">
        <v>929</v>
      </c>
      <c r="D121" t="s">
        <v>34</v>
      </c>
      <c r="E121" s="11" t="s">
        <v>728</v>
      </c>
      <c r="F121" s="166" t="str">
        <f t="shared" si="5"/>
        <v>YES</v>
      </c>
      <c r="G121" s="143" t="s">
        <v>39</v>
      </c>
      <c r="H121" s="143" t="s">
        <v>39</v>
      </c>
      <c r="I121" s="143" t="s">
        <v>39</v>
      </c>
      <c r="J121" s="143" t="s">
        <v>39</v>
      </c>
      <c r="K121" s="143" t="s">
        <v>39</v>
      </c>
      <c r="L121" s="134"/>
      <c r="M121" s="134"/>
      <c r="N121" s="134"/>
      <c r="O121" s="134"/>
      <c r="P121" s="134"/>
      <c r="Q121" s="551" t="str">
        <f>IF(uniform!B80=FALSE, Reference!B137&amp;CHAR(10)&amp;Reference!B138,"")&amp;IF(uniform!F80=FALSE, CHAR(10)&amp;CHAR(10)&amp;Reference!B143&amp;CHAR(10)&amp;Reference!B144,"")</f>
        <v/>
      </c>
      <c r="R121" s="552"/>
      <c r="S121" s="551" t="str">
        <f>IF(uniform!B80=FALSE,Reference!B139&amp;"&lt;br&gt;"&amp;Reference!B140,"")&amp;IF(uniform!F80=FALSE, "&lt;br&gt;"&amp;Reference!B145&amp;"&lt;br&gt;"&amp;Reference!B146,"")</f>
        <v/>
      </c>
      <c r="T121" s="552"/>
    </row>
    <row r="122" spans="1:20" ht="45.75" customHeight="1">
      <c r="A122" s="13">
        <v>7.6</v>
      </c>
      <c r="B122" s="28" t="s">
        <v>9</v>
      </c>
      <c r="C122" s="13" t="s">
        <v>930</v>
      </c>
      <c r="D122" t="s">
        <v>730</v>
      </c>
      <c r="E122" s="11" t="s">
        <v>728</v>
      </c>
      <c r="F122" s="166" t="str">
        <f t="shared" si="5"/>
        <v>PARTIALLY</v>
      </c>
      <c r="G122" s="143" t="s">
        <v>39</v>
      </c>
      <c r="H122" s="143" t="s">
        <v>39</v>
      </c>
      <c r="I122" s="143" t="s">
        <v>39</v>
      </c>
      <c r="J122" s="143" t="s">
        <v>39</v>
      </c>
      <c r="K122" s="143" t="s">
        <v>39</v>
      </c>
      <c r="L122" s="134"/>
      <c r="M122" s="134"/>
      <c r="N122" s="134"/>
      <c r="O122" s="134"/>
      <c r="P122" s="134"/>
      <c r="Q122" s="551" t="str">
        <f>IF(uniform!B84=FALSE,Reference!B148&amp;CHAR(10)&amp;Reference!B149,"")</f>
        <v>The polishing workshop produces dust, and the workers only wear ordinary disposable masks instead of dust proofed masks. Noise was produced in the punching workshop and the factory had provided earplugs, but 30% of workers did not wear earplugs.
Law Reference: Article 45 of Law of the People’s Republic of China on Production Safety.</v>
      </c>
      <c r="R122" s="552"/>
      <c r="S122" s="551" t="str">
        <f>IF(uniform!B84=FALSE,Reference!B150&amp;CHAR(10)&amp;Reference!B151,"")</f>
        <v>抛光车间产生粉尘，工人只佩戴普通的是一次性口罩，而不是防尘口罩。冲压车间产生噪音，工厂已经提供耳塞，但是有30%的工人没有佩戴耳塞。
根据《中华人民共和国安全生产法》第45条。</v>
      </c>
      <c r="T122" s="552"/>
    </row>
    <row r="123" spans="1:20" ht="57" customHeight="1">
      <c r="A123" s="13">
        <v>7.7</v>
      </c>
      <c r="B123" s="28" t="s">
        <v>10</v>
      </c>
      <c r="C123" s="13" t="s">
        <v>931</v>
      </c>
      <c r="D123" t="s">
        <v>634</v>
      </c>
      <c r="E123" s="11" t="s">
        <v>728</v>
      </c>
      <c r="F123" s="166" t="str">
        <f t="shared" si="5"/>
        <v>YES</v>
      </c>
      <c r="G123" s="143" t="s">
        <v>39</v>
      </c>
      <c r="H123" s="143" t="s">
        <v>39</v>
      </c>
      <c r="I123" s="143" t="s">
        <v>39</v>
      </c>
      <c r="J123" s="143" t="s">
        <v>39</v>
      </c>
      <c r="K123" s="143" t="s">
        <v>39</v>
      </c>
      <c r="L123" s="134"/>
      <c r="M123" s="134"/>
      <c r="N123" s="134"/>
      <c r="O123" s="134"/>
      <c r="P123" s="134"/>
      <c r="Q123" s="551" t="str">
        <f>IF(AND(uniform!B88&lt;&gt;0, uniform!E88=FALSE),Reference!B154&amp;CHAR(10)&amp;Reference!B155,"")&amp;IF(AND(uniform!B88&lt;&gt;0, uniform!F88=FALSE),CHAR(10)&amp;CHAR(10)&amp;Reference!B160&amp;CHAR(10)&amp;Reference!B161,"")&amp;IF(AND(uniform!B88&lt;&gt;0, uniform!G88=FALSE),CHAR(10)&amp;CHAR(10)&amp;Reference!B167&amp;CHAR(10)&amp;Reference!B168,"")&amp;IF(AND(uniform!B88&lt;&gt;0, uniform!H88=FALSE),CHAR(10)&amp;CHAR(10)&amp;Reference!B173&amp;CHAR(10)&amp;Reference!B174,"")</f>
        <v/>
      </c>
      <c r="R123" s="552"/>
      <c r="S123" s="551" t="str">
        <f>IF(AND(uniform!B88&lt;&gt;0, uniform!E88=FALSE),Reference!B156&amp;CHAR(10)&amp;Reference!B157,"")&amp;IF(AND(uniform!B88&lt;&gt;0, uniform!F88=FALSE),CHAR(10)&amp;CHAR(10)&amp;Reference!B162&amp;CHAR(10)&amp;Reference!B163,"")&amp;IF(AND(uniform!B88&lt;&gt;0, uniform!G88=FALSE),CHAR(10)&amp;CHAR(10)&amp;Reference!B169&amp;CHAR(10)&amp;Reference!B170,"")&amp;IF(AND(uniform!B88&lt;&gt;0, uniform!H88=FALSE),CHAR(10)&amp;CHAR(10)&amp;Reference!B175&amp;CHAR(10)&amp;Reference!B176,"")</f>
        <v/>
      </c>
      <c r="T123" s="552"/>
    </row>
    <row r="124" spans="1:20" ht="29">
      <c r="A124" s="13">
        <v>7.8</v>
      </c>
      <c r="B124" s="28" t="s">
        <v>11</v>
      </c>
      <c r="C124" s="13" t="s">
        <v>932</v>
      </c>
      <c r="D124" t="s">
        <v>635</v>
      </c>
      <c r="E124" s="11" t="s">
        <v>728</v>
      </c>
      <c r="F124" s="166" t="str">
        <f t="shared" si="5"/>
        <v>YES</v>
      </c>
      <c r="G124" s="143" t="s">
        <v>39</v>
      </c>
      <c r="H124" s="143" t="s">
        <v>39</v>
      </c>
      <c r="I124" s="143" t="s">
        <v>39</v>
      </c>
      <c r="J124" s="143" t="s">
        <v>39</v>
      </c>
      <c r="K124" s="143" t="s">
        <v>39</v>
      </c>
      <c r="L124" s="134"/>
      <c r="M124" s="134"/>
      <c r="N124" s="134"/>
      <c r="O124" s="134"/>
      <c r="P124" s="134"/>
      <c r="Q124" s="551"/>
      <c r="R124" s="552"/>
      <c r="S124" s="551"/>
      <c r="T124" s="552"/>
    </row>
    <row r="125" spans="1:20" ht="29">
      <c r="A125" s="13">
        <v>7.9</v>
      </c>
      <c r="B125" s="28" t="s">
        <v>11</v>
      </c>
      <c r="C125" s="13" t="s">
        <v>933</v>
      </c>
      <c r="D125" t="s">
        <v>636</v>
      </c>
      <c r="E125" s="11" t="s">
        <v>728</v>
      </c>
      <c r="F125" s="166" t="str">
        <f t="shared" si="5"/>
        <v>YES</v>
      </c>
      <c r="G125" s="143" t="s">
        <v>39</v>
      </c>
      <c r="H125" s="143" t="s">
        <v>39</v>
      </c>
      <c r="I125" s="143" t="s">
        <v>39</v>
      </c>
      <c r="J125" s="143" t="s">
        <v>39</v>
      </c>
      <c r="K125" s="143" t="s">
        <v>39</v>
      </c>
      <c r="L125" s="134"/>
      <c r="M125" s="134"/>
      <c r="N125" s="134"/>
      <c r="O125" s="134"/>
      <c r="P125" s="134"/>
      <c r="Q125" s="551" t="str">
        <f>IF(uniform!B93=FALSE,Reference!B179&amp;CHAR(10)&amp;Reference!B180,"")</f>
        <v/>
      </c>
      <c r="R125" s="552"/>
      <c r="S125" s="551" t="str">
        <f>IF(uniform!B93=FALSE,Reference!B181&amp;CHAR(10)&amp;Reference!B182,"")</f>
        <v/>
      </c>
      <c r="T125" s="552"/>
    </row>
    <row r="126" spans="1:20" ht="29">
      <c r="A126" s="60" t="s">
        <v>594</v>
      </c>
      <c r="B126" s="28" t="s">
        <v>11</v>
      </c>
      <c r="C126" s="13" t="s">
        <v>934</v>
      </c>
      <c r="D126" t="s">
        <v>716</v>
      </c>
      <c r="E126" s="11" t="s">
        <v>728</v>
      </c>
      <c r="F126" s="166" t="str">
        <f t="shared" si="5"/>
        <v>YES</v>
      </c>
      <c r="G126" s="143" t="s">
        <v>39</v>
      </c>
      <c r="H126" s="143" t="s">
        <v>39</v>
      </c>
      <c r="I126" s="143" t="s">
        <v>39</v>
      </c>
      <c r="J126" s="143" t="s">
        <v>39</v>
      </c>
      <c r="K126" s="143" t="s">
        <v>39</v>
      </c>
      <c r="L126" s="134"/>
      <c r="M126" s="134"/>
      <c r="N126" s="134"/>
      <c r="O126" s="134"/>
      <c r="P126" s="134"/>
      <c r="Q126" s="551" t="str">
        <f>IF(uniform!B95=FALSE,Reference!B190,"")</f>
        <v/>
      </c>
      <c r="R126" s="552"/>
      <c r="S126" s="551" t="str">
        <f>IF(uniform!B95=FALSE,Reference!B191,"")</f>
        <v/>
      </c>
      <c r="T126" s="552"/>
    </row>
    <row r="127" spans="1:20" ht="30" customHeight="1">
      <c r="A127" s="13">
        <v>7.11</v>
      </c>
      <c r="B127" s="28" t="s">
        <v>11</v>
      </c>
      <c r="C127" s="13" t="s">
        <v>935</v>
      </c>
      <c r="D127" t="s">
        <v>35</v>
      </c>
      <c r="E127" s="11" t="s">
        <v>728</v>
      </c>
      <c r="F127" s="166" t="str">
        <f t="shared" si="5"/>
        <v>YES</v>
      </c>
      <c r="G127" s="143" t="s">
        <v>39</v>
      </c>
      <c r="H127" s="143" t="s">
        <v>39</v>
      </c>
      <c r="I127" s="143" t="s">
        <v>39</v>
      </c>
      <c r="J127" s="143" t="s">
        <v>39</v>
      </c>
      <c r="K127" s="143" t="s">
        <v>39</v>
      </c>
      <c r="L127" s="134"/>
      <c r="M127" s="134"/>
      <c r="N127" s="134"/>
      <c r="O127" s="134"/>
      <c r="P127" s="134"/>
      <c r="Q127" s="551" t="str">
        <f>IF(uniform!B97=FALSE,Reference!B193&amp;"&lt;br&gt;"&amp;Reference!B194,"")&amp;IF(uniform!D97=FALSE,"&lt;br&gt;"&amp;Reference!B198&amp;"&lt;br&gt;"&amp;Reference!B199,"")</f>
        <v/>
      </c>
      <c r="R127" s="552"/>
      <c r="S127" s="551" t="str">
        <f>IF(uniform!B97=FALSE,Reference!B195&amp;"&lt;br&gt;"&amp;Reference!B196,"")&amp;IF(uniform!D97=FALSE,"&lt;br&gt;"&amp;Reference!B200&amp;"&lt;br&gt;"&amp;Reference!B201,"")</f>
        <v/>
      </c>
      <c r="T127" s="552"/>
    </row>
    <row r="128" spans="1:20" ht="29">
      <c r="A128" s="13">
        <v>7.12</v>
      </c>
      <c r="B128" s="28" t="s">
        <v>11</v>
      </c>
      <c r="C128" s="13" t="s">
        <v>936</v>
      </c>
      <c r="D128" t="s">
        <v>637</v>
      </c>
      <c r="E128" s="8" t="s">
        <v>704</v>
      </c>
      <c r="F128" s="166" t="str">
        <f t="shared" si="5"/>
        <v>YES</v>
      </c>
      <c r="G128" s="143" t="s">
        <v>39</v>
      </c>
      <c r="H128" s="143" t="s">
        <v>39</v>
      </c>
      <c r="I128" s="143" t="s">
        <v>39</v>
      </c>
      <c r="J128" s="143" t="s">
        <v>39</v>
      </c>
      <c r="K128" s="143" t="s">
        <v>39</v>
      </c>
      <c r="L128" s="134"/>
      <c r="M128" s="134"/>
      <c r="N128" s="134"/>
      <c r="O128" s="134"/>
      <c r="P128" s="134"/>
      <c r="Q128" s="551"/>
      <c r="R128" s="552"/>
      <c r="S128" s="551"/>
      <c r="T128" s="552"/>
    </row>
    <row r="129" spans="1:20" ht="38.25" customHeight="1">
      <c r="A129" s="13">
        <v>7.13</v>
      </c>
      <c r="B129" s="28" t="s">
        <v>12</v>
      </c>
      <c r="C129" s="13" t="s">
        <v>937</v>
      </c>
      <c r="D129" t="s">
        <v>36</v>
      </c>
      <c r="E129" s="11" t="s">
        <v>728</v>
      </c>
      <c r="F129" s="166" t="str">
        <f t="shared" si="5"/>
        <v>PARTIALLY</v>
      </c>
      <c r="G129" s="143" t="s">
        <v>39</v>
      </c>
      <c r="H129" s="143" t="s">
        <v>39</v>
      </c>
      <c r="I129" s="143" t="s">
        <v>39</v>
      </c>
      <c r="J129" s="143" t="s">
        <v>39</v>
      </c>
      <c r="K129" s="143" t="s">
        <v>39</v>
      </c>
      <c r="L129" s="134"/>
      <c r="M129" s="134"/>
      <c r="N129" s="134"/>
      <c r="O129" s="134"/>
      <c r="P129" s="134"/>
      <c r="Q129" s="551" t="str">
        <f>IF(uniform!B101=FALSE,Reference!#REF!&amp;Reference!#REF!,"")&amp;IF(uniform!C101=FALSE,Reference!B338&amp;Reference!B339,"")&amp;IF(uniform!D101=FALSE,Reference!B214&amp;Reference!B215,"")&amp;IF(uniform!E101=FALSE,Reference!B220&amp;Reference!B221,"")&amp;IF(uniform!F101="No",Reference!B225&amp;Reference!B226,"")&amp;IF(uniform!G101=FALSE,Reference!B230&amp;Reference!B231,"")&amp;IF(uniform!H101=FALSE,Reference!B209&amp;Reference!B210,"")</f>
        <v>The factory did not develop, implement and enforce an energy control program. For example, electrical appliance circuit breaks could not lock out or tag out when performing maintenance. Law Reference: Safety requirements for applications of electrical equipment - part 2: safety measures for operation in the absence of power, Article 5.5.3.</v>
      </c>
      <c r="R129" s="552"/>
      <c r="S129" s="551" t="str">
        <f>IF(uniform!B101=FALSE,Reference!#REF!&amp;CHAR(10)&amp;Reference!#REF!,"")&amp;IF(uniform!C101=FALSE,CHAR(10)&amp;CHAR(10)&amp;Reference!B340&amp;CHAR(10)&amp;Reference!B341,"")&amp;IF(uniform!D101=FALSE,CHAR(10)&amp;CHAR(10)&amp;Reference!B216&amp;CHAR(10)&amp;Reference!B217,"")&amp;IF(uniform!E101=FALSE,CHAR(10)&amp;CHAR(10)&amp;Reference!B222&amp;CHAR(10)&amp;Reference!B223,"")&amp;IF(uniform!F101="No",CHAR(10)&amp;CHAR(10)&amp;Reference!B227&amp;CHAR(10)&amp;Reference!B228,"")&amp;IF(uniform!G101=FALSE,CHAR(10)&amp;CHAR(10)&amp;Reference!B232&amp;CHAR(10)&amp;Reference!B233,"")&amp;IF(uniform!H101=FALSE,CHAR(10)&amp;CHAR(10)&amp;Reference!B211&amp;CHAR(10)&amp;Reference!B212,"")</f>
        <v xml:space="preserve">
工厂没有制定、执行并强制一个能量控制程序，例如电气设备在维修时没有对电源锁定、挂牌。
 根据《电气设备应用场所的安全要求--第2部分：在断电状态下操作的安全措施》5.5.3.</v>
      </c>
      <c r="T129" s="552"/>
    </row>
    <row r="130" spans="1:20" ht="15.5">
      <c r="A130" s="13">
        <v>7.14</v>
      </c>
      <c r="B130" s="132" t="s">
        <v>15</v>
      </c>
      <c r="C130" s="13" t="s">
        <v>938</v>
      </c>
      <c r="D130" t="s">
        <v>638</v>
      </c>
      <c r="E130" s="8" t="s">
        <v>704</v>
      </c>
      <c r="F130" s="166" t="str">
        <f t="shared" si="5"/>
        <v>YES</v>
      </c>
      <c r="G130" s="143" t="s">
        <v>39</v>
      </c>
      <c r="H130" s="143" t="s">
        <v>39</v>
      </c>
      <c r="I130" s="143" t="s">
        <v>39</v>
      </c>
      <c r="J130" s="143" t="s">
        <v>39</v>
      </c>
      <c r="K130" s="143" t="s">
        <v>39</v>
      </c>
      <c r="L130" s="134"/>
      <c r="M130" s="134"/>
      <c r="N130" s="134"/>
      <c r="O130" s="134"/>
      <c r="P130" s="134"/>
      <c r="Q130" s="551" t="str">
        <f>IF(uniform!B104=FALSE, Reference!B237&amp;"&lt;br&gt;"&amp;Reference!B238,"")&amp;IF(uniform!C104=FALSE, Reference!B243&amp;"&lt;br&gt;"&amp;Reference!B244,"")&amp;IF(uniform!F104=FALSE, Reference!B249&amp;"&lt;br&gt;"&amp;Reference!B250,"")</f>
        <v/>
      </c>
      <c r="R130" s="552"/>
      <c r="S130" s="551" t="str">
        <f>IF(uniform!B104=FALSE, Reference!B239&amp;"&lt;br&gt;"&amp;Reference!B240,"")&amp;IF(uniform!C104=FALSE, Reference!B245&amp;"&lt;br&gt;"&amp;Reference!B246,"")&amp;IF(uniform!F104=FALSE, Reference!B251&amp;"&lt;br&gt;"&amp;Reference!B252,"")</f>
        <v/>
      </c>
      <c r="T130" s="552"/>
    </row>
    <row r="131" spans="1:20" ht="43.5" customHeight="1">
      <c r="A131" s="13">
        <v>7.15</v>
      </c>
      <c r="B131" s="132" t="s">
        <v>13</v>
      </c>
      <c r="C131" s="13" t="s">
        <v>939</v>
      </c>
      <c r="D131" t="s">
        <v>639</v>
      </c>
      <c r="E131" s="8" t="s">
        <v>704</v>
      </c>
      <c r="F131" s="166" t="str">
        <f t="shared" si="5"/>
        <v>YES</v>
      </c>
      <c r="G131" s="143" t="s">
        <v>39</v>
      </c>
      <c r="H131" s="143" t="s">
        <v>39</v>
      </c>
      <c r="I131" s="143" t="s">
        <v>39</v>
      </c>
      <c r="J131" s="143" t="s">
        <v>39</v>
      </c>
      <c r="K131" s="143" t="s">
        <v>39</v>
      </c>
      <c r="L131" s="134"/>
      <c r="M131" s="134"/>
      <c r="N131" s="134"/>
      <c r="O131" s="134"/>
      <c r="P131" s="134"/>
      <c r="Q131" s="551"/>
      <c r="R131" s="552"/>
      <c r="S131" s="551"/>
      <c r="T131" s="552"/>
    </row>
    <row r="132" spans="1:20" ht="48" customHeight="1">
      <c r="A132" s="13">
        <v>7.16</v>
      </c>
      <c r="B132" s="132" t="s">
        <v>13</v>
      </c>
      <c r="C132" s="13" t="s">
        <v>940</v>
      </c>
      <c r="D132" t="s">
        <v>708</v>
      </c>
      <c r="E132" s="11" t="s">
        <v>728</v>
      </c>
      <c r="F132" s="166" t="str">
        <f t="shared" si="5"/>
        <v>YES</v>
      </c>
      <c r="G132" s="143" t="s">
        <v>39</v>
      </c>
      <c r="H132" s="143" t="s">
        <v>39</v>
      </c>
      <c r="I132" s="143" t="s">
        <v>39</v>
      </c>
      <c r="J132" s="143" t="s">
        <v>39</v>
      </c>
      <c r="K132" s="143" t="s">
        <v>39</v>
      </c>
      <c r="L132" s="134"/>
      <c r="M132" s="134"/>
      <c r="N132" s="134"/>
      <c r="O132" s="134"/>
      <c r="P132" s="134"/>
      <c r="Q132" s="551"/>
      <c r="R132" s="552"/>
      <c r="S132" s="551"/>
      <c r="T132" s="552"/>
    </row>
    <row r="133" spans="1:20" ht="60.75" customHeight="1">
      <c r="A133" s="13">
        <v>7.17</v>
      </c>
      <c r="B133" s="132" t="s">
        <v>14</v>
      </c>
      <c r="C133" s="13" t="s">
        <v>941</v>
      </c>
      <c r="D133" t="s">
        <v>640</v>
      </c>
      <c r="E133" s="11" t="s">
        <v>728</v>
      </c>
      <c r="F133" s="166" t="str">
        <f t="shared" si="5"/>
        <v>YES</v>
      </c>
      <c r="G133" s="143" t="s">
        <v>39</v>
      </c>
      <c r="H133" s="143" t="s">
        <v>39</v>
      </c>
      <c r="I133" s="143" t="s">
        <v>39</v>
      </c>
      <c r="J133" s="143" t="s">
        <v>39</v>
      </c>
      <c r="K133" s="143" t="s">
        <v>39</v>
      </c>
      <c r="L133" s="134"/>
      <c r="M133" s="134"/>
      <c r="N133" s="134"/>
      <c r="O133" s="134"/>
      <c r="P133" s="134"/>
      <c r="Q133" s="551" t="str">
        <f>IF(uniform!B112=FALSE,Reference!B287&amp;CHAR(10)&amp;Reference!B288,"")&amp;IF(uniform!C112="No",CHAR(10)&amp;CHAR(10)&amp;Reference!B300&amp;CHAR(10)&amp;Reference!B301,"")&amp;IF(uniform!D112=FALSE,CHAR(10)&amp;CHAR(10)&amp;Reference!B306&amp;CHAR(10)&amp;Reference!B307,"")&amp;IF(uniform!B116&lt;&gt;0,IF(uniform!F116=FALSE,CHAR(10)&amp;CHAR(10)&amp;Reference!B312&amp;CHAR(10)&amp;Reference!B313,""),"")&amp;IF(uniform!B116&lt;&gt;0,IF(uniform!G116=FALSE,CHAR(10)&amp;CHAR(10)&amp;Reference!B318&amp;CHAR(10)&amp;Reference!B319,""),"")&amp;IF(uniform!B116&lt;&gt;0,IF(uniform!H116=FALSE,CHAR(10)&amp;CHAR(10)&amp;Reference!B324&amp;CHAR(10)&amp;Reference!B325,""),"")&amp;IF(uniform!K116=FALSE,CHAR(10)&amp;CHAR(10)&amp;Reference!B331&amp;CHAR(10)&amp;Reference!B332,"")&amp;IF(uniform!L116=FALSE,CHAR(10)&amp;CHAR(10)&amp;Reference!B338&amp;CHAR(10)&amp;Reference!B339,"")</f>
        <v/>
      </c>
      <c r="R133" s="552"/>
      <c r="S133" s="551" t="str">
        <f>IF(uniform!B112=FALSE,Reference!B289&amp;CHAR(10)&amp;Reference!B290,"")&amp;IF(uniform!C112="No",CHAR(10)&amp;CHAR(10)&amp;Reference!B302&amp;CHAR(10)&amp;Reference!B303,"")&amp;IF(uniform!D112=FALSE,CHAR(10)&amp;CHAR(10)&amp;Reference!B308&amp;CHAR(10)&amp;Reference!B309,"")&amp;IF(uniform!B116&lt;&gt;0,IF(uniform!F116=FALSE,CHAR(10)&amp;CHAR(10)&amp;Reference!B314&amp;CHAR(10)&amp;Reference!B315,""),"")&amp;IF(uniform!B116&lt;&gt;0,IF(uniform!G116=FALSE,CHAR(10)&amp;CHAR(10)&amp;Reference!B320&amp;CHAR(10)&amp;Reference!B321,""),"")&amp;IF(uniform!B116&lt;&gt;0,IF(uniform!H116=FALSE,CHAR(10)&amp;CHAR(10)&amp;Reference!B326&amp;CHAR(10)&amp;Reference!B327,""),"")&amp;IF(uniform!K116=FALSE,CHAR(10)&amp;CHAR(10)&amp;Reference!B333&amp;CHAR(10)&amp;Reference!B334,"")&amp;IF(uniform!L116=FALSE,CHAR(10)&amp;CHAR(10)&amp;Reference!B340&amp;CHAR(10)&amp;Reference!B341,"")</f>
        <v/>
      </c>
      <c r="T133" s="552"/>
    </row>
    <row r="134" spans="1:20" ht="41.25" customHeight="1">
      <c r="A134" s="16">
        <v>7.18</v>
      </c>
      <c r="B134" s="132" t="s">
        <v>16</v>
      </c>
      <c r="C134" s="13" t="s">
        <v>942</v>
      </c>
      <c r="D134" t="s">
        <v>641</v>
      </c>
      <c r="E134" s="8" t="s">
        <v>704</v>
      </c>
      <c r="F134" s="166" t="str">
        <f t="shared" si="5"/>
        <v>YES</v>
      </c>
      <c r="G134" s="143" t="s">
        <v>39</v>
      </c>
      <c r="H134" s="143" t="s">
        <v>39</v>
      </c>
      <c r="I134" s="143" t="s">
        <v>39</v>
      </c>
      <c r="J134" s="143" t="s">
        <v>39</v>
      </c>
      <c r="K134" s="143" t="s">
        <v>39</v>
      </c>
      <c r="L134" s="134"/>
      <c r="M134" s="134"/>
      <c r="N134" s="134"/>
      <c r="O134" s="134"/>
      <c r="P134" s="134"/>
      <c r="Q134" s="551" t="str">
        <f>IF(uniform!B119=FALSE,Reference!B344&amp;"&lt;br&gt;"&amp;Reference!B345,"")&amp;IF(uniform!C119&lt;2,Reference!B348&amp;"&lt;br&gt;"&amp;Reference!B349,"")&amp;IF(uniform!D119="No",Reference!B353&amp;"&lt;br&gt;"&amp;Reference!B354,"")</f>
        <v/>
      </c>
      <c r="R134" s="552"/>
      <c r="S134" s="551" t="str">
        <f>IF(uniform!B119=FALSE,Reference!B346&amp;"&lt;br&gt;"&amp;Reference!B347,"")&amp;IF(uniform!C119&lt;2,Reference!B350&amp;"&lt;br&gt;"&amp;Reference!B351,"")&amp;IF(uniform!D119="No",Reference!B355&amp;"&lt;br&gt;"&amp;Reference!B356,"")</f>
        <v/>
      </c>
      <c r="T134" s="552"/>
    </row>
    <row r="135" spans="1:20" ht="15.5">
      <c r="A135" s="16">
        <v>7.19</v>
      </c>
      <c r="B135" s="132" t="s">
        <v>16</v>
      </c>
      <c r="C135" s="13" t="s">
        <v>943</v>
      </c>
      <c r="D135" t="s">
        <v>642</v>
      </c>
      <c r="E135" s="11" t="s">
        <v>728</v>
      </c>
      <c r="F135" s="166" t="str">
        <f t="shared" si="5"/>
        <v>YES</v>
      </c>
      <c r="G135" s="143" t="s">
        <v>39</v>
      </c>
      <c r="H135" s="143" t="s">
        <v>39</v>
      </c>
      <c r="I135" s="143" t="s">
        <v>39</v>
      </c>
      <c r="J135" s="143" t="s">
        <v>39</v>
      </c>
      <c r="K135" s="143" t="s">
        <v>39</v>
      </c>
      <c r="L135" s="134"/>
      <c r="M135" s="134"/>
      <c r="N135" s="134"/>
      <c r="O135" s="134"/>
      <c r="P135" s="134"/>
      <c r="Q135" s="551"/>
      <c r="R135" s="552"/>
      <c r="S135" s="551"/>
      <c r="T135" s="552"/>
    </row>
    <row r="136" spans="1:20" ht="43.5">
      <c r="A136" s="16" t="s">
        <v>595</v>
      </c>
      <c r="B136" s="132" t="s">
        <v>738</v>
      </c>
      <c r="C136" s="13" t="s">
        <v>944</v>
      </c>
      <c r="D136" t="s">
        <v>721</v>
      </c>
      <c r="E136" s="8" t="s">
        <v>704</v>
      </c>
      <c r="F136" s="166" t="str">
        <f t="shared" si="5"/>
        <v>YES</v>
      </c>
      <c r="G136" s="143" t="s">
        <v>39</v>
      </c>
      <c r="H136" s="143" t="s">
        <v>39</v>
      </c>
      <c r="I136" s="143" t="s">
        <v>39</v>
      </c>
      <c r="J136" s="143" t="s">
        <v>39</v>
      </c>
      <c r="K136" s="143" t="s">
        <v>39</v>
      </c>
      <c r="L136" s="134"/>
      <c r="M136" s="134"/>
      <c r="N136" s="134"/>
      <c r="O136" s="134"/>
      <c r="P136" s="134"/>
      <c r="Q136" s="551"/>
      <c r="R136" s="552"/>
      <c r="S136" s="551"/>
      <c r="T136" s="552"/>
    </row>
    <row r="137" spans="1:20" ht="42.75" customHeight="1">
      <c r="A137" s="13">
        <v>7.21</v>
      </c>
      <c r="B137" s="132" t="s">
        <v>738</v>
      </c>
      <c r="C137" s="13" t="s">
        <v>945</v>
      </c>
      <c r="D137" t="s">
        <v>712</v>
      </c>
      <c r="E137" s="11" t="s">
        <v>728</v>
      </c>
      <c r="F137" s="166" t="str">
        <f>IF(uniform!B124=FALSE,"N/A",IF(Q137="","YES","PARTIALLY"))</f>
        <v>N/A</v>
      </c>
      <c r="G137" s="143" t="s">
        <v>39</v>
      </c>
      <c r="H137" s="143" t="s">
        <v>39</v>
      </c>
      <c r="I137" s="143" t="s">
        <v>39</v>
      </c>
      <c r="J137" s="143" t="s">
        <v>39</v>
      </c>
      <c r="K137" s="143" t="s">
        <v>39</v>
      </c>
      <c r="L137" s="134"/>
      <c r="M137" s="134"/>
      <c r="N137" s="134"/>
      <c r="O137" s="134"/>
      <c r="P137" s="134"/>
      <c r="Q137" s="551" t="str">
        <f>IF(AND(uniform!B124=TRUE,uniform!C124=FALSE),Reference!B360&amp;CHAR(10)&amp;Reference!B361,"")&amp;IF(AND(uniform!B124=TRUE,uniform!E124=FALSE),CHAR(10)&amp;CHAR(10)&amp;Reference!B366&amp;CHAR(10)&amp;Reference!B367,"")</f>
        <v/>
      </c>
      <c r="R137" s="552"/>
      <c r="S137" s="551" t="str">
        <f>IF(AND(uniform!B124=TRUE,uniform!C124=FALSE),Reference!B362&amp;"&lt;br&gt;"&amp;Reference!B363,"")&amp;IF(AND(uniform!B124=TRUE,uniform!E124=FALSE),"&lt;br&gt;"&amp;Reference!B368&amp;"&lt;br&gt;"&amp;Reference!B369,"")</f>
        <v/>
      </c>
      <c r="T137" s="552"/>
    </row>
    <row r="138" spans="1:20" ht="43.5">
      <c r="A138" s="13">
        <v>7.22</v>
      </c>
      <c r="B138" s="132" t="s">
        <v>738</v>
      </c>
      <c r="C138" s="13" t="s">
        <v>946</v>
      </c>
      <c r="D138" t="s">
        <v>643</v>
      </c>
      <c r="E138" s="11" t="s">
        <v>728</v>
      </c>
      <c r="F138" s="166" t="str">
        <f>IF(Q138="","YES","PARTIALLY")</f>
        <v>PARTIALLY</v>
      </c>
      <c r="G138" s="143" t="s">
        <v>39</v>
      </c>
      <c r="H138" s="143" t="s">
        <v>39</v>
      </c>
      <c r="I138" s="143" t="s">
        <v>39</v>
      </c>
      <c r="J138" s="143" t="s">
        <v>39</v>
      </c>
      <c r="K138" s="143" t="s">
        <v>39</v>
      </c>
      <c r="L138" s="134"/>
      <c r="M138" s="134"/>
      <c r="N138" s="134"/>
      <c r="O138" s="134"/>
      <c r="P138" s="134"/>
      <c r="Q138" s="551" t="str">
        <f>IF(uniform!B128=FALSE,Reference!B374,"")&amp;IF(uniform!C128=FALSE,Reference!B377,"")&amp;IF(uniform!D128=FALSE,Reference!B380,"")</f>
        <v>厨工在制作食物过程中没有穿戴清洁的工作服和帽子。There was no toilet paper and hand sanitizer in the toilets at workplace.The stalls in the toilet of the workplace were not equipped with doors, with no way to give workers any privacy.</v>
      </c>
      <c r="R138" s="552"/>
      <c r="S138" s="551" t="str">
        <f>IF(uniform!B128=FALSE,Reference!B375,"")&amp;IF(uniform!C128=FALSE,Reference!B378,"")&amp;IF(uniform!D128=FALSE,Reference!B381,"")</f>
        <v>根据《中华人民共和国食品安全法》第27条。生产区厕所内没有放纸巾和洗手液。厂区的洗手间厕格没有门，不能给与工人隐私。</v>
      </c>
      <c r="T138" s="552"/>
    </row>
    <row r="139" spans="1:20" ht="43.5">
      <c r="A139" s="13">
        <v>7.23</v>
      </c>
      <c r="B139" s="132" t="s">
        <v>738</v>
      </c>
      <c r="C139" s="13" t="s">
        <v>947</v>
      </c>
      <c r="D139" t="s">
        <v>644</v>
      </c>
      <c r="E139" s="11" t="s">
        <v>728</v>
      </c>
      <c r="F139" s="166" t="str">
        <f>IF(uniform!F128=FALSE,"N/A",IF(Q139="","YES","PARTIALLY"))</f>
        <v>N/A</v>
      </c>
      <c r="G139" s="143" t="s">
        <v>39</v>
      </c>
      <c r="H139" s="143" t="s">
        <v>39</v>
      </c>
      <c r="I139" s="143" t="s">
        <v>39</v>
      </c>
      <c r="J139" s="143" t="s">
        <v>39</v>
      </c>
      <c r="K139" s="143" t="s">
        <v>39</v>
      </c>
      <c r="L139" s="134"/>
      <c r="M139" s="134"/>
      <c r="N139" s="134"/>
      <c r="O139" s="134"/>
      <c r="P139" s="134"/>
      <c r="Q139" s="551" t="s">
        <v>893</v>
      </c>
      <c r="R139" s="552"/>
      <c r="S139" s="551" t="s">
        <v>893</v>
      </c>
      <c r="T139" s="552"/>
    </row>
    <row r="140" spans="1:20" ht="43.5">
      <c r="A140" s="13">
        <v>7.24</v>
      </c>
      <c r="B140" s="132" t="s">
        <v>738</v>
      </c>
      <c r="C140" s="13" t="s">
        <v>948</v>
      </c>
      <c r="D140" t="s">
        <v>645</v>
      </c>
      <c r="E140" s="11" t="s">
        <v>728</v>
      </c>
      <c r="F140" s="166" t="str">
        <f>IF(Q140="","YES","PARTIALLY")</f>
        <v>YES</v>
      </c>
      <c r="G140" s="143" t="s">
        <v>39</v>
      </c>
      <c r="H140" s="143" t="s">
        <v>39</v>
      </c>
      <c r="I140" s="143" t="s">
        <v>39</v>
      </c>
      <c r="J140" s="143" t="s">
        <v>39</v>
      </c>
      <c r="K140" s="143" t="s">
        <v>39</v>
      </c>
      <c r="L140" s="134"/>
      <c r="M140" s="134"/>
      <c r="N140" s="134"/>
      <c r="O140" s="134"/>
      <c r="P140" s="134"/>
      <c r="Q140" s="551" t="str">
        <f>IF(uniform!J128=FALSE,Reference!B383&amp;"&lt;br&gt;"&amp;Reference!B384,"")</f>
        <v/>
      </c>
      <c r="R140" s="552"/>
      <c r="S140" s="551" t="str">
        <f>IF(uniform!J128=FALSE,Reference!B385&amp;"&lt;br&gt;"&amp;Reference!B386,"")</f>
        <v/>
      </c>
      <c r="T140" s="552"/>
    </row>
    <row r="141" spans="1:20" ht="43.5">
      <c r="A141" s="13">
        <v>7.25</v>
      </c>
      <c r="B141" s="132" t="s">
        <v>738</v>
      </c>
      <c r="C141" s="13" t="s">
        <v>949</v>
      </c>
      <c r="D141" t="s">
        <v>646</v>
      </c>
      <c r="E141" s="11" t="s">
        <v>728</v>
      </c>
      <c r="F141" s="166" t="str">
        <f>IF(Q141="","YES","PARTIALLY")</f>
        <v>YES</v>
      </c>
      <c r="G141" s="143" t="s">
        <v>39</v>
      </c>
      <c r="H141" s="143" t="s">
        <v>39</v>
      </c>
      <c r="I141" s="143" t="s">
        <v>39</v>
      </c>
      <c r="J141" s="143" t="s">
        <v>39</v>
      </c>
      <c r="K141" s="143" t="s">
        <v>39</v>
      </c>
      <c r="L141" s="134"/>
      <c r="M141" s="134"/>
      <c r="N141" s="134"/>
      <c r="O141" s="134"/>
      <c r="P141" s="134"/>
      <c r="Q141" s="551" t="str">
        <f>IF(AND(uniform!H128=TRUE,uniform!I128=FALSE),Reference!B388,"")</f>
        <v/>
      </c>
      <c r="R141" s="552"/>
      <c r="S141" s="551" t="str">
        <f>IF(AND(uniform!H128=TRUE,uniform!I128=FALSE),Reference!B389,"")</f>
        <v/>
      </c>
      <c r="T141" s="552"/>
    </row>
    <row r="142" spans="1:20" ht="8.25" customHeight="1">
      <c r="A142"/>
      <c r="B142"/>
      <c r="C142"/>
      <c r="D142"/>
      <c r="E142" s="13"/>
      <c r="L142" s="139"/>
      <c r="M142" s="134"/>
      <c r="N142" s="134"/>
      <c r="O142" s="134"/>
      <c r="P142" s="134"/>
    </row>
    <row r="143" spans="1:20" ht="22.5" customHeight="1">
      <c r="A143" s="15"/>
      <c r="D143" s="67"/>
      <c r="I143" s="520" t="s">
        <v>762</v>
      </c>
      <c r="J143" s="503"/>
      <c r="K143" s="150"/>
      <c r="L143" s="139"/>
      <c r="M143" s="134"/>
      <c r="N143" s="134"/>
      <c r="O143" s="134"/>
      <c r="P143" s="134"/>
    </row>
    <row r="145" spans="1:20" ht="50.15" customHeight="1">
      <c r="A145" s="521" t="s">
        <v>878</v>
      </c>
      <c r="B145" s="526"/>
      <c r="D145" s="525" t="str">
        <f>uniform!B81&amp;uniform!B85&amp;uniform!B89&amp;uniform!B98&amp;uniform!B102&amp;uniform!B105&amp;uniform!B109&amp;uniform!B125&amp;IF(COUNTIF(F117:F141,"Partially")+COUNTIF(F117:F141,"NO")&gt;0,B18,D18)</f>
        <v>The factory had established health &amp; safety management procedures and occupational health &amp; safety committee according to legal requirements and BSCI Code of Conduct, with designated management representatives responsible for health and safety matters. Workers received regular health and safety training. The factory had obtained fire acceptance report. Building construction project acceptance report is provided for review. Fire extinguishers were sufficient in number and were maintained in good condition. Per on-site test on the audit date, the fire hydrant system worked well with sufficient water pressure. The fire alarm is tested to be fine and in compliance with the legal requirement. Emergency safety exits were sufficient for each workshop. Aisles and safety exits were clearly marked and illuminated, and they were free of obstruction. Dormitory, canteen, kitchen, and transit bus were not provided in this factory.Based on satisfactory evidence, the factory partially respects this principle.</v>
      </c>
      <c r="E145" s="515"/>
      <c r="F145" s="515"/>
      <c r="G145" s="515"/>
      <c r="H145" s="515"/>
      <c r="I145" s="515"/>
      <c r="J145" s="515"/>
      <c r="K145" s="516"/>
      <c r="L145" s="135"/>
      <c r="M145" s="134"/>
      <c r="N145" s="134"/>
      <c r="O145" s="134"/>
      <c r="P145" s="134"/>
    </row>
    <row r="146" spans="1:20" ht="92.5" customHeight="1">
      <c r="A146" s="527"/>
      <c r="B146" s="528"/>
      <c r="D146" s="517"/>
      <c r="E146" s="518"/>
      <c r="F146" s="518"/>
      <c r="G146" s="518"/>
      <c r="H146" s="518"/>
      <c r="I146" s="518"/>
      <c r="J146" s="518"/>
      <c r="K146" s="519"/>
      <c r="L146" s="136"/>
      <c r="M146" s="134"/>
      <c r="N146" s="134"/>
      <c r="O146" s="134"/>
      <c r="P146" s="134"/>
    </row>
    <row r="147" spans="1:20" ht="50.15" customHeight="1">
      <c r="A147" s="521" t="s">
        <v>877</v>
      </c>
      <c r="B147" s="526"/>
      <c r="D147" s="525" t="str">
        <f>uniform!B82&amp;uniform!B86&amp;uniform!B90&amp;uniform!B99&amp;uniform!B106&amp;uniform!B110&amp;uniform!B122&amp;uniform!B126&amp;IF(COUNTIF(F117:F141,"Partially")+COUNTIF(F117:F141,"NO")&gt;0,E18,F18)</f>
        <v>工厂根据法律要求以及BSCI的要求建立了健康安全规定和守则，建立了职业健康安全委员会，有专门的管理层代表负责健康安全事宜。工人接受了健康安全的培训。厂房已经取得了消防验收合格报告。建筑物建设工程竣工验收报告被提供给审核。灭火器数量充足且维护良好。在审核当天经现场测试，消防栓系统工作完好且水压充足。每个车间都安装了消防警铃。车间安全出口数量足够。通道和安全出口有清晰标志和照明，并且保持畅通。不提供宿舍，餐厅，厨房和交通巴士。基于令人满意的证据，工厂部分尊重本条原则。</v>
      </c>
      <c r="E147" s="515"/>
      <c r="F147" s="515"/>
      <c r="G147" s="515"/>
      <c r="H147" s="515"/>
      <c r="I147" s="515"/>
      <c r="J147" s="515"/>
      <c r="K147" s="516"/>
      <c r="L147" s="135"/>
      <c r="M147" s="134"/>
      <c r="N147" s="134"/>
      <c r="O147" s="134"/>
      <c r="P147" s="134"/>
    </row>
    <row r="148" spans="1:20" ht="33" customHeight="1">
      <c r="A148" s="527"/>
      <c r="B148" s="528"/>
      <c r="D148" s="517"/>
      <c r="E148" s="518"/>
      <c r="F148" s="518"/>
      <c r="G148" s="518"/>
      <c r="H148" s="518"/>
      <c r="I148" s="518"/>
      <c r="J148" s="518"/>
      <c r="K148" s="519"/>
      <c r="L148" s="136"/>
      <c r="M148" s="134"/>
      <c r="N148" s="134"/>
      <c r="O148" s="134"/>
      <c r="P148" s="134"/>
    </row>
    <row r="149" spans="1:20" ht="23.25" hidden="1" customHeight="1">
      <c r="A149" s="521" t="s">
        <v>42</v>
      </c>
      <c r="B149" s="522"/>
      <c r="D149" s="525" t="s">
        <v>93</v>
      </c>
      <c r="E149" s="515"/>
      <c r="F149" s="515"/>
      <c r="G149" s="515"/>
      <c r="H149" s="515"/>
      <c r="I149" s="515"/>
      <c r="J149" s="515"/>
      <c r="K149" s="516"/>
      <c r="L149" s="137"/>
      <c r="M149" s="134"/>
      <c r="N149" s="134"/>
      <c r="O149" s="134"/>
      <c r="P149" s="134"/>
    </row>
    <row r="150" spans="1:20" ht="15.5" hidden="1">
      <c r="A150" s="523"/>
      <c r="B150" s="524"/>
      <c r="D150" s="517"/>
      <c r="E150" s="518"/>
      <c r="F150" s="518"/>
      <c r="G150" s="518"/>
      <c r="H150" s="518"/>
      <c r="I150" s="518"/>
      <c r="J150" s="518"/>
      <c r="K150" s="519"/>
      <c r="L150" s="138"/>
      <c r="M150" s="134"/>
      <c r="N150" s="134"/>
      <c r="O150" s="134"/>
      <c r="P150" s="134"/>
    </row>
    <row r="151" spans="1:20" ht="15" hidden="1" customHeight="1">
      <c r="A151" s="13"/>
      <c r="D151" s="67"/>
      <c r="F151" s="125"/>
      <c r="G151" s="126"/>
      <c r="H151" s="126"/>
      <c r="I151" s="126"/>
      <c r="J151" s="126"/>
      <c r="K151" s="126"/>
      <c r="M151" s="134"/>
      <c r="N151" s="134"/>
      <c r="O151" s="134"/>
      <c r="P151" s="134"/>
    </row>
    <row r="152" spans="1:20" s="1" customFormat="1" ht="29.25" customHeight="1">
      <c r="A152" s="56" t="s">
        <v>24</v>
      </c>
      <c r="B152" s="18"/>
      <c r="C152" s="13"/>
      <c r="D152" s="56"/>
      <c r="E152" s="17" t="str">
        <f>IF(COUNTIF(F155:F158,"Partially")+COUNTIF(F155:F158,"NO")&gt;0,"Failed","Perfect")</f>
        <v>Perfect</v>
      </c>
      <c r="F152" s="56"/>
      <c r="G152" s="541"/>
      <c r="H152" s="541"/>
      <c r="I152" s="541"/>
      <c r="J152" s="541"/>
      <c r="K152" s="541"/>
      <c r="L152" s="10"/>
      <c r="M152" s="134"/>
      <c r="N152" s="134"/>
      <c r="O152" s="134"/>
      <c r="P152" s="134"/>
      <c r="Q152" s="160"/>
      <c r="R152" s="160"/>
      <c r="S152" s="160"/>
      <c r="T152" s="160"/>
    </row>
    <row r="153" spans="1:20" ht="50.25" customHeight="1">
      <c r="A153" s="128" t="s">
        <v>0</v>
      </c>
      <c r="B153" s="129" t="s">
        <v>760</v>
      </c>
      <c r="D153" s="133" t="s">
        <v>1</v>
      </c>
      <c r="E153" s="129" t="s">
        <v>665</v>
      </c>
      <c r="F153" s="133" t="s">
        <v>697</v>
      </c>
      <c r="G153" s="540" t="s">
        <v>43</v>
      </c>
      <c r="H153" s="530"/>
      <c r="I153" s="530"/>
      <c r="J153" s="530"/>
      <c r="K153" s="503"/>
      <c r="M153" s="134"/>
      <c r="N153" s="134"/>
      <c r="O153" s="134"/>
      <c r="P153" s="134"/>
      <c r="Q153" s="540" t="s">
        <v>879</v>
      </c>
      <c r="R153" s="549"/>
      <c r="S153" s="549"/>
      <c r="T153" s="550"/>
    </row>
    <row r="154" spans="1:20" ht="21" customHeight="1">
      <c r="A154" s="2"/>
      <c r="B154" s="5"/>
      <c r="D154" s="68"/>
      <c r="E154" s="5"/>
      <c r="F154" s="133"/>
      <c r="G154" s="133" t="s">
        <v>44</v>
      </c>
      <c r="H154" s="133" t="s">
        <v>45</v>
      </c>
      <c r="I154" s="133" t="s">
        <v>46</v>
      </c>
      <c r="J154" s="133" t="s">
        <v>47</v>
      </c>
      <c r="K154" s="133" t="s">
        <v>847</v>
      </c>
      <c r="M154" s="134"/>
      <c r="N154" s="134"/>
      <c r="O154" s="134"/>
      <c r="P154" s="134"/>
      <c r="Q154" s="540" t="s">
        <v>17</v>
      </c>
      <c r="R154" s="550"/>
      <c r="S154" s="540" t="s">
        <v>880</v>
      </c>
      <c r="T154" s="550"/>
    </row>
    <row r="155" spans="1:20" ht="15.5">
      <c r="A155" s="13">
        <v>8.1</v>
      </c>
      <c r="C155" s="13" t="s">
        <v>950</v>
      </c>
      <c r="D155" t="s">
        <v>7</v>
      </c>
      <c r="E155" s="8" t="s">
        <v>704</v>
      </c>
      <c r="F155" s="242" t="str">
        <f>IF(Q155="","YES","PARTIALLY")</f>
        <v>YES</v>
      </c>
      <c r="G155" s="143" t="s">
        <v>39</v>
      </c>
      <c r="H155" s="143" t="s">
        <v>39</v>
      </c>
      <c r="I155" s="143" t="s">
        <v>39</v>
      </c>
      <c r="J155" s="143" t="s">
        <v>39</v>
      </c>
      <c r="K155" s="143" t="s">
        <v>39</v>
      </c>
      <c r="L155" s="134"/>
      <c r="M155" s="134"/>
      <c r="N155" s="134"/>
      <c r="O155" s="134"/>
      <c r="P155" s="134"/>
      <c r="Q155" s="551" t="str">
        <f>IF(uniform!G131=FALSE,Reference!B391&amp;"&lt;br&gt;"&amp;Reference!B392,"")</f>
        <v/>
      </c>
      <c r="R155" s="552"/>
      <c r="S155" s="551" t="str">
        <f>IF(uniform!G131=FALSE,Reference!B393&amp;"&lt;br&gt;"&amp;Reference!B394,"")</f>
        <v/>
      </c>
      <c r="T155" s="552"/>
    </row>
    <row r="156" spans="1:20" ht="15.5">
      <c r="A156" s="13">
        <v>8.1999999999999993</v>
      </c>
      <c r="C156" s="13" t="s">
        <v>951</v>
      </c>
      <c r="D156" t="s">
        <v>269</v>
      </c>
      <c r="E156" s="11" t="s">
        <v>728</v>
      </c>
      <c r="F156" s="242" t="str">
        <f t="shared" ref="F156:F158" si="6">IF(Q156="","YES","PARTIALLY")</f>
        <v>YES</v>
      </c>
      <c r="G156" s="143" t="s">
        <v>39</v>
      </c>
      <c r="H156" s="143" t="s">
        <v>39</v>
      </c>
      <c r="I156" s="143" t="s">
        <v>39</v>
      </c>
      <c r="J156" s="143" t="s">
        <v>39</v>
      </c>
      <c r="K156" s="143" t="s">
        <v>41</v>
      </c>
      <c r="L156" s="134"/>
      <c r="M156" s="134"/>
      <c r="N156" s="134"/>
      <c r="O156" s="134"/>
      <c r="P156" s="134"/>
      <c r="Q156" s="551" t="str">
        <f>IF(uniform!H135=FALSE,Reference!B397&amp;"&lt;br&gt;"&amp;Reference!B398,"")</f>
        <v/>
      </c>
      <c r="R156" s="552"/>
      <c r="S156" s="551" t="str">
        <f>IF(uniform!H135=FALSE,Reference!B399&amp;"&lt;br&gt;"&amp;Reference!B400,"")</f>
        <v/>
      </c>
      <c r="T156" s="552"/>
    </row>
    <row r="157" spans="1:20" ht="15.5">
      <c r="A157" s="13">
        <v>8.3000000000000007</v>
      </c>
      <c r="C157" s="13" t="s">
        <v>952</v>
      </c>
      <c r="D157" t="s">
        <v>647</v>
      </c>
      <c r="E157" s="11" t="s">
        <v>728</v>
      </c>
      <c r="F157" s="242" t="str">
        <f t="shared" si="6"/>
        <v>YES</v>
      </c>
      <c r="G157" s="143" t="s">
        <v>39</v>
      </c>
      <c r="H157" s="143" t="s">
        <v>39</v>
      </c>
      <c r="I157" s="143" t="s">
        <v>39</v>
      </c>
      <c r="J157" s="143" t="s">
        <v>39</v>
      </c>
      <c r="K157" s="143" t="s">
        <v>41</v>
      </c>
      <c r="L157" s="134"/>
      <c r="M157" s="134"/>
      <c r="N157" s="134"/>
      <c r="O157" s="134"/>
      <c r="P157" s="134"/>
      <c r="Q157" s="551" t="s">
        <v>893</v>
      </c>
      <c r="R157" s="552"/>
      <c r="S157" s="551" t="s">
        <v>893</v>
      </c>
      <c r="T157" s="552"/>
    </row>
    <row r="158" spans="1:20" ht="33" customHeight="1">
      <c r="A158" s="13">
        <v>8.4</v>
      </c>
      <c r="C158" s="13" t="s">
        <v>953</v>
      </c>
      <c r="D158" t="s">
        <v>710</v>
      </c>
      <c r="E158" s="11" t="s">
        <v>728</v>
      </c>
      <c r="F158" s="242" t="str">
        <f t="shared" si="6"/>
        <v>YES</v>
      </c>
      <c r="G158" s="143" t="s">
        <v>39</v>
      </c>
      <c r="H158" s="143" t="s">
        <v>39</v>
      </c>
      <c r="I158" s="143" t="s">
        <v>39</v>
      </c>
      <c r="J158" s="143" t="s">
        <v>39</v>
      </c>
      <c r="K158" s="143" t="s">
        <v>41</v>
      </c>
      <c r="L158" s="134"/>
      <c r="M158" s="134"/>
      <c r="N158" s="134"/>
      <c r="O158" s="134"/>
      <c r="P158" s="134"/>
      <c r="Q158" s="551" t="s">
        <v>893</v>
      </c>
      <c r="R158" s="552"/>
      <c r="S158" s="551" t="s">
        <v>893</v>
      </c>
      <c r="T158" s="552"/>
    </row>
    <row r="159" spans="1:20" ht="8.25" hidden="1" customHeight="1">
      <c r="A159"/>
      <c r="B159"/>
      <c r="C159"/>
      <c r="D159"/>
      <c r="E159" s="13"/>
      <c r="L159" s="139"/>
      <c r="M159" s="134"/>
      <c r="N159" s="134"/>
      <c r="O159" s="134"/>
      <c r="P159" s="134"/>
    </row>
    <row r="160" spans="1:20" ht="22.5" customHeight="1">
      <c r="A160" s="15"/>
      <c r="D160" s="67"/>
      <c r="I160" s="520" t="s">
        <v>762</v>
      </c>
      <c r="J160" s="503"/>
      <c r="K160" s="150"/>
      <c r="L160" s="139"/>
      <c r="M160" s="134"/>
      <c r="N160" s="134"/>
      <c r="O160" s="134"/>
      <c r="P160" s="134"/>
    </row>
    <row r="162" spans="1:20" ht="50.15" customHeight="1">
      <c r="A162" s="521" t="s">
        <v>878</v>
      </c>
      <c r="B162" s="526"/>
      <c r="D162" s="525" t="str">
        <f>uniform!B132&amp;uniform!B136&amp;IF(COUNTIF(F155:F158,"Partially")+COUNTIF(F155:F158,"NO")&gt;0,B18,D18)</f>
        <v>The factory had established child labour prohibiting procedures and child labour remedial procedure. No child labor was noted.The factory checked workers age by means of reviewing identification card and face to face interview. Trainings regarding child labor, age verification mechanism and child labour remedial procedure were provided to human resources and production department.  Identification cards were being required to present when recruiting workers. All sample workers' ID copies were recorded in their personnel file and were kept by the human resource department. Based on satisfactory evidence, the factory respects this principle.</v>
      </c>
      <c r="E162" s="515"/>
      <c r="F162" s="515"/>
      <c r="G162" s="515"/>
      <c r="H162" s="515"/>
      <c r="I162" s="515"/>
      <c r="J162" s="515"/>
      <c r="K162" s="516"/>
      <c r="L162" s="135"/>
      <c r="M162" s="134"/>
      <c r="N162" s="134"/>
      <c r="O162" s="134"/>
      <c r="P162" s="134"/>
    </row>
    <row r="163" spans="1:20" ht="50.15" customHeight="1">
      <c r="A163" s="527"/>
      <c r="B163" s="528"/>
      <c r="D163" s="517"/>
      <c r="E163" s="518"/>
      <c r="F163" s="518"/>
      <c r="G163" s="518"/>
      <c r="H163" s="518"/>
      <c r="I163" s="518"/>
      <c r="J163" s="518"/>
      <c r="K163" s="519"/>
      <c r="L163" s="136"/>
      <c r="M163" s="134"/>
      <c r="N163" s="134"/>
      <c r="O163" s="134"/>
      <c r="P163" s="134"/>
    </row>
    <row r="164" spans="1:20" ht="50.15" customHeight="1">
      <c r="A164" s="521" t="s">
        <v>877</v>
      </c>
      <c r="B164" s="526"/>
      <c r="D164" s="525" t="str">
        <f>uniform!B133&amp;uniform!B137&amp;IF(COUNTIF(F155:F158,"Partially")+COUNTIF(F155:F158,"NO")&gt;0,E18,F18)</f>
        <v>工厂建立了禁止使用童工程序和童工拯救程序。没有发现童工。工厂通过查看身份证件、面谈来核实员工年龄；人力资源部门和生产部门受到过童工，年龄识别机制和童工拯救程序的培训。工人在入职的时候被要求出示身份证。所有抽样人员的入职登记资料由人力资源部门保管。基于令人满意的证据，工厂尊重本条原则。</v>
      </c>
      <c r="E164" s="515"/>
      <c r="F164" s="515"/>
      <c r="G164" s="515"/>
      <c r="H164" s="515"/>
      <c r="I164" s="515"/>
      <c r="J164" s="515"/>
      <c r="K164" s="516"/>
      <c r="L164" s="135"/>
      <c r="M164" s="134"/>
      <c r="N164" s="134"/>
      <c r="O164" s="134"/>
      <c r="P164" s="134"/>
    </row>
    <row r="165" spans="1:20" ht="15.5">
      <c r="A165" s="527"/>
      <c r="B165" s="528"/>
      <c r="D165" s="517"/>
      <c r="E165" s="518"/>
      <c r="F165" s="518"/>
      <c r="G165" s="518"/>
      <c r="H165" s="518"/>
      <c r="I165" s="518"/>
      <c r="J165" s="518"/>
      <c r="K165" s="519"/>
      <c r="L165" s="136"/>
      <c r="M165" s="134"/>
      <c r="N165" s="134"/>
      <c r="O165" s="134"/>
      <c r="P165" s="134"/>
    </row>
    <row r="166" spans="1:20" ht="21" hidden="1" customHeight="1">
      <c r="A166" s="521" t="s">
        <v>42</v>
      </c>
      <c r="B166" s="522"/>
      <c r="D166" s="525" t="s">
        <v>93</v>
      </c>
      <c r="E166" s="515"/>
      <c r="F166" s="515"/>
      <c r="G166" s="515"/>
      <c r="H166" s="515"/>
      <c r="I166" s="515"/>
      <c r="J166" s="515"/>
      <c r="K166" s="516"/>
      <c r="L166" s="137"/>
      <c r="M166" s="134"/>
      <c r="N166" s="134"/>
      <c r="O166" s="134"/>
      <c r="P166" s="134"/>
    </row>
    <row r="167" spans="1:20" ht="15.5" hidden="1">
      <c r="A167" s="523"/>
      <c r="B167" s="524"/>
      <c r="D167" s="517"/>
      <c r="E167" s="518"/>
      <c r="F167" s="518"/>
      <c r="G167" s="518"/>
      <c r="H167" s="518"/>
      <c r="I167" s="518"/>
      <c r="J167" s="518"/>
      <c r="K167" s="519"/>
      <c r="L167" s="138"/>
      <c r="M167" s="134"/>
      <c r="N167" s="134"/>
      <c r="O167" s="134"/>
      <c r="P167" s="134"/>
    </row>
    <row r="168" spans="1:20" ht="11.25" hidden="1" customHeight="1">
      <c r="A168" s="13"/>
      <c r="D168" s="67"/>
      <c r="F168" s="125"/>
      <c r="G168" s="126"/>
      <c r="H168" s="126"/>
      <c r="I168" s="126"/>
      <c r="J168" s="126"/>
      <c r="K168" s="126"/>
      <c r="M168" s="134"/>
      <c r="N168" s="134"/>
      <c r="O168" s="134"/>
      <c r="P168" s="134"/>
    </row>
    <row r="169" spans="1:20" s="1" customFormat="1" ht="28.5" customHeight="1">
      <c r="A169" s="56" t="s">
        <v>25</v>
      </c>
      <c r="B169" s="18"/>
      <c r="C169" s="13"/>
      <c r="D169" s="56"/>
      <c r="E169" s="17" t="str">
        <f>IF(COUNTIF(F172:F177,"Partially")+COUNTIF(F172:F177,"NO")&gt;0,"Failed","Perfect")</f>
        <v>Perfect</v>
      </c>
      <c r="F169" s="56"/>
      <c r="G169" s="541" t="s">
        <v>871</v>
      </c>
      <c r="H169" s="541"/>
      <c r="I169" s="541"/>
      <c r="J169" s="541"/>
      <c r="K169" s="541"/>
      <c r="L169" s="10"/>
      <c r="M169" s="134"/>
      <c r="N169" s="134"/>
      <c r="O169" s="134"/>
      <c r="P169" s="134"/>
      <c r="Q169" s="160"/>
      <c r="R169" s="160"/>
      <c r="S169" s="160"/>
      <c r="T169" s="160"/>
    </row>
    <row r="170" spans="1:20" ht="56.25" customHeight="1">
      <c r="A170" s="128" t="s">
        <v>0</v>
      </c>
      <c r="B170" s="129" t="s">
        <v>760</v>
      </c>
      <c r="D170" s="133" t="s">
        <v>1</v>
      </c>
      <c r="E170" s="129" t="s">
        <v>665</v>
      </c>
      <c r="F170" s="133" t="s">
        <v>697</v>
      </c>
      <c r="G170" s="540" t="s">
        <v>43</v>
      </c>
      <c r="H170" s="530"/>
      <c r="I170" s="530"/>
      <c r="J170" s="530"/>
      <c r="K170" s="503"/>
      <c r="M170" s="134"/>
      <c r="N170" s="134"/>
      <c r="O170" s="134"/>
      <c r="P170" s="134"/>
      <c r="Q170" s="540" t="s">
        <v>879</v>
      </c>
      <c r="R170" s="549"/>
      <c r="S170" s="549"/>
      <c r="T170" s="550"/>
    </row>
    <row r="171" spans="1:20" ht="25.5" customHeight="1">
      <c r="A171" s="2"/>
      <c r="B171" s="5"/>
      <c r="D171" s="68"/>
      <c r="E171" s="5"/>
      <c r="F171" s="133"/>
      <c r="G171" s="133" t="s">
        <v>44</v>
      </c>
      <c r="H171" s="133" t="s">
        <v>45</v>
      </c>
      <c r="I171" s="133" t="s">
        <v>46</v>
      </c>
      <c r="J171" s="133" t="s">
        <v>47</v>
      </c>
      <c r="K171" s="133" t="s">
        <v>847</v>
      </c>
      <c r="M171" s="134"/>
      <c r="N171" s="134"/>
      <c r="O171" s="134"/>
      <c r="P171" s="134"/>
      <c r="Q171" s="540" t="s">
        <v>17</v>
      </c>
      <c r="R171" s="550"/>
      <c r="S171" s="540" t="s">
        <v>880</v>
      </c>
      <c r="T171" s="550"/>
    </row>
    <row r="172" spans="1:20" ht="28.5" customHeight="1">
      <c r="A172" s="13">
        <v>9.1</v>
      </c>
      <c r="C172" s="13" t="s">
        <v>954</v>
      </c>
      <c r="D172" t="s">
        <v>648</v>
      </c>
      <c r="E172" s="11" t="s">
        <v>728</v>
      </c>
      <c r="F172" s="242" t="str">
        <f>IF(Q172="","YES","PARTIALLY")</f>
        <v>YES</v>
      </c>
      <c r="G172" s="143" t="s">
        <v>39</v>
      </c>
      <c r="H172" s="143" t="s">
        <v>39</v>
      </c>
      <c r="I172" s="143" t="s">
        <v>39</v>
      </c>
      <c r="J172" s="143" t="s">
        <v>39</v>
      </c>
      <c r="K172" s="143" t="s">
        <v>39</v>
      </c>
      <c r="L172" s="134"/>
      <c r="M172" s="134"/>
      <c r="N172" s="134"/>
      <c r="O172" s="134"/>
      <c r="P172" s="134"/>
      <c r="Q172" s="551" t="str">
        <f>IF(AND(uniform!F139=TRUE, uniform!H145=FALSE), Reference!B403&amp;"&lt;br&gt;"&amp;Reference!B404,"")</f>
        <v/>
      </c>
      <c r="R172" s="552"/>
      <c r="S172" s="551" t="str">
        <f>IF(AND(uniform!F139=TRUE, uniform!H145=FALSE), Reference!B405&amp;"&lt;br&gt;"&amp;Reference!B406,"")</f>
        <v/>
      </c>
      <c r="T172" s="552"/>
    </row>
    <row r="173" spans="1:20" ht="37.5" customHeight="1">
      <c r="A173" s="13">
        <v>9.1999999999999993</v>
      </c>
      <c r="C173" s="13" t="s">
        <v>955</v>
      </c>
      <c r="D173" t="s">
        <v>649</v>
      </c>
      <c r="E173" s="8" t="s">
        <v>704</v>
      </c>
      <c r="F173" s="242" t="str">
        <f t="shared" ref="F173:F177" si="7">IF(Q173="","YES","PARTIALLY")</f>
        <v>YES</v>
      </c>
      <c r="G173" s="143" t="s">
        <v>39</v>
      </c>
      <c r="H173" s="143" t="s">
        <v>39</v>
      </c>
      <c r="I173" s="143" t="s">
        <v>39</v>
      </c>
      <c r="J173" s="143" t="s">
        <v>39</v>
      </c>
      <c r="K173" s="143" t="s">
        <v>41</v>
      </c>
      <c r="L173" s="134"/>
      <c r="M173" s="134"/>
      <c r="N173" s="134"/>
      <c r="O173" s="134"/>
      <c r="P173" s="134"/>
      <c r="Q173" s="551" t="s">
        <v>893</v>
      </c>
      <c r="R173" s="552"/>
      <c r="S173" s="551" t="s">
        <v>893</v>
      </c>
      <c r="T173" s="552"/>
    </row>
    <row r="174" spans="1:20" ht="15.5">
      <c r="A174" s="13">
        <v>9.3000000000000007</v>
      </c>
      <c r="C174" s="13" t="s">
        <v>956</v>
      </c>
      <c r="D174" t="s">
        <v>650</v>
      </c>
      <c r="E174" s="8" t="s">
        <v>704</v>
      </c>
      <c r="F174" s="242" t="str">
        <f t="shared" si="7"/>
        <v>YES</v>
      </c>
      <c r="G174" s="143" t="s">
        <v>39</v>
      </c>
      <c r="H174" s="143" t="s">
        <v>39</v>
      </c>
      <c r="I174" s="143" t="s">
        <v>39</v>
      </c>
      <c r="J174" s="143" t="s">
        <v>39</v>
      </c>
      <c r="K174" s="143" t="s">
        <v>41</v>
      </c>
      <c r="L174" s="134"/>
      <c r="M174" s="134"/>
      <c r="N174" s="134"/>
      <c r="O174" s="134"/>
      <c r="P174" s="134"/>
      <c r="Q174" s="551" t="s">
        <v>893</v>
      </c>
      <c r="R174" s="552"/>
      <c r="S174" s="551" t="s">
        <v>893</v>
      </c>
      <c r="T174" s="552"/>
    </row>
    <row r="175" spans="1:20" ht="15.5">
      <c r="A175" s="13">
        <v>9.4</v>
      </c>
      <c r="C175" s="13" t="s">
        <v>957</v>
      </c>
      <c r="D175" t="s">
        <v>651</v>
      </c>
      <c r="E175" s="11" t="s">
        <v>728</v>
      </c>
      <c r="F175" s="242" t="str">
        <f t="shared" si="7"/>
        <v>YES</v>
      </c>
      <c r="G175" s="143" t="s">
        <v>39</v>
      </c>
      <c r="H175" s="143" t="s">
        <v>39</v>
      </c>
      <c r="I175" s="143" t="s">
        <v>39</v>
      </c>
      <c r="J175" s="143" t="s">
        <v>39</v>
      </c>
      <c r="K175" s="143" t="s">
        <v>41</v>
      </c>
      <c r="L175" s="134"/>
      <c r="M175" s="134"/>
      <c r="N175" s="134"/>
      <c r="O175" s="134"/>
      <c r="P175" s="134"/>
      <c r="Q175" s="551" t="s">
        <v>893</v>
      </c>
      <c r="R175" s="552"/>
      <c r="S175" s="551" t="s">
        <v>893</v>
      </c>
      <c r="T175" s="552"/>
    </row>
    <row r="176" spans="1:20" ht="25.5" customHeight="1">
      <c r="A176" s="13">
        <v>9.5</v>
      </c>
      <c r="C176" s="13" t="s">
        <v>958</v>
      </c>
      <c r="D176" t="s">
        <v>652</v>
      </c>
      <c r="E176" s="11" t="s">
        <v>728</v>
      </c>
      <c r="F176" s="242" t="str">
        <f t="shared" si="7"/>
        <v>YES</v>
      </c>
      <c r="G176" s="143" t="s">
        <v>39</v>
      </c>
      <c r="H176" s="143" t="s">
        <v>39</v>
      </c>
      <c r="I176" s="143" t="s">
        <v>39</v>
      </c>
      <c r="J176" s="143" t="s">
        <v>39</v>
      </c>
      <c r="K176" s="143" t="s">
        <v>41</v>
      </c>
      <c r="L176" s="134"/>
      <c r="M176" s="134"/>
      <c r="N176" s="134"/>
      <c r="O176" s="134"/>
      <c r="P176" s="134"/>
      <c r="Q176" s="551" t="s">
        <v>893</v>
      </c>
      <c r="R176" s="552"/>
      <c r="S176" s="551" t="s">
        <v>893</v>
      </c>
      <c r="T176" s="552"/>
    </row>
    <row r="177" spans="1:20" ht="32.25" customHeight="1">
      <c r="A177" s="13">
        <v>9.6</v>
      </c>
      <c r="C177" s="13" t="s">
        <v>959</v>
      </c>
      <c r="D177" t="s">
        <v>653</v>
      </c>
      <c r="E177" s="11" t="s">
        <v>728</v>
      </c>
      <c r="F177" s="242" t="str">
        <f t="shared" si="7"/>
        <v>YES</v>
      </c>
      <c r="G177" s="143" t="s">
        <v>39</v>
      </c>
      <c r="H177" s="143" t="s">
        <v>39</v>
      </c>
      <c r="I177" s="143" t="s">
        <v>39</v>
      </c>
      <c r="J177" s="143" t="s">
        <v>39</v>
      </c>
      <c r="K177" s="143" t="s">
        <v>41</v>
      </c>
      <c r="L177" s="134"/>
      <c r="M177" s="134"/>
      <c r="N177" s="134"/>
      <c r="O177" s="134"/>
      <c r="P177" s="134"/>
      <c r="Q177" s="551" t="str">
        <f>IF(AND(uniform!F139=TRUE,uniform!B145=FALSE),Reference!B410&amp;"&lt;br&gt;"&amp;Reference!B411,"")&amp;IF(AND(uniform!F139=TRUE,uniform!B145=TRUE,uniform!C145=FALSE),"&lt;br&gt;"&amp;Reference!B416&amp;"&lt;br&gt;"&amp;Reference!B417,"")&amp;IF(AND(uniform!F139=TRUE,uniform!D145=FALSE),"&lt;br&gt;"&amp;Reference!B423&amp;"&lt;br&gt;"&amp;Reference!B424,"")</f>
        <v/>
      </c>
      <c r="R177" s="552"/>
      <c r="S177" s="551" t="str">
        <f>IF(AND(uniform!F139=TRUE,uniform!B145=FALSE),Reference!B412&amp;"&lt;br&gt;"&amp;Reference!B413,"")&amp;IF(AND(uniform!F139=TRUE,uniform!B145=TRUE,uniform!C145=FALSE),"&lt;br&gt;"&amp;Reference!B418&amp;"&lt;br&gt;"&amp;Reference!B419,"")&amp;IF(AND(uniform!F139=TRUE,uniform!D145=FALSE),"&lt;br&gt;"&amp;Reference!B425&amp;"&lt;br&gt;"&amp;Reference!B426,"")</f>
        <v/>
      </c>
      <c r="T177" s="552"/>
    </row>
    <row r="178" spans="1:20" ht="7.5" hidden="1" customHeight="1">
      <c r="A178"/>
      <c r="B178"/>
      <c r="C178"/>
      <c r="D178"/>
      <c r="E178" s="13"/>
      <c r="L178" s="139"/>
      <c r="M178" s="134"/>
      <c r="N178" s="134"/>
      <c r="O178" s="134"/>
      <c r="P178" s="134"/>
    </row>
    <row r="179" spans="1:20" ht="22.5" customHeight="1">
      <c r="A179" s="15"/>
      <c r="D179" s="67"/>
      <c r="I179" s="520" t="s">
        <v>762</v>
      </c>
      <c r="J179" s="503"/>
      <c r="K179" s="150"/>
      <c r="L179" s="139"/>
      <c r="M179" s="134"/>
      <c r="N179" s="134"/>
      <c r="O179" s="134"/>
      <c r="P179" s="134"/>
    </row>
    <row r="180" spans="1:20" ht="7.5" hidden="1" customHeight="1">
      <c r="A180" s="15"/>
      <c r="D180" s="67"/>
      <c r="M180" s="134"/>
      <c r="N180" s="134"/>
      <c r="O180" s="134"/>
      <c r="P180" s="134"/>
    </row>
    <row r="181" spans="1:20" ht="50.15" customHeight="1">
      <c r="A181" s="521" t="s">
        <v>878</v>
      </c>
      <c r="B181" s="526"/>
      <c r="D181" s="525" t="str">
        <f>uniform!B140&amp;uniform!B142&amp;IF(COUNTIF(F172:F177,"Partially")+COUNTIF(F172:F177,"NO")&gt;0,B18,D18)</f>
        <v>There was no young worker case. Although the factory did not use young workers at present, it still had sufficient awareness of the protection of young workers, and had formulated a series of regulations on the protection of young workers, such as not arranging young workers to engage in toxic and harmful activities, not arranging young workers to night work, providing effective appeal channels for young workers, providing young workers with health and safety training, etc.
Remark: Question 9.2 to 9.6 are rated as N/A, due to no young workers are employed in this factory.Based on satisfactory evidence, the factory respects this principle.</v>
      </c>
      <c r="E181" s="515"/>
      <c r="F181" s="515"/>
      <c r="G181" s="515"/>
      <c r="H181" s="515"/>
      <c r="I181" s="515"/>
      <c r="J181" s="515"/>
      <c r="K181" s="516"/>
      <c r="L181" s="135"/>
      <c r="M181" s="134"/>
      <c r="N181" s="134"/>
      <c r="O181" s="134"/>
      <c r="P181" s="134"/>
    </row>
    <row r="182" spans="1:20" ht="15.5">
      <c r="A182" s="527"/>
      <c r="B182" s="528"/>
      <c r="D182" s="517"/>
      <c r="E182" s="518"/>
      <c r="F182" s="518"/>
      <c r="G182" s="518"/>
      <c r="H182" s="518"/>
      <c r="I182" s="518"/>
      <c r="J182" s="518"/>
      <c r="K182" s="519"/>
      <c r="L182" s="136"/>
      <c r="M182" s="134"/>
      <c r="N182" s="134"/>
      <c r="O182" s="134"/>
      <c r="P182" s="134"/>
    </row>
    <row r="183" spans="1:20" ht="50.15" customHeight="1">
      <c r="A183" s="521" t="s">
        <v>877</v>
      </c>
      <c r="B183" s="526"/>
      <c r="D183" s="525" t="str">
        <f>uniform!B141&amp;uniform!B143&amp;IF(COUNTIF(F172:F177,"Partially")+COUNTIF(F172:F177,"NO")&gt;0,E18,F18)</f>
        <v>没有发现未成年工。尽管工厂目前没有使用未成年工，但对于未成年工的保护仍有充分的认知，且制定了一系列的未成年工保护规定，比如：不得安排未成年工从事有毒有害的工作，不得安排未成年工上晚班，需要给未成年工提供有效的申诉渠道，需要给未成年工提供有关健康安全的培训，等等。
备注：工厂没有雇用未成年工，因此9.2-9.6问题被评为“不适用”。基于令人满意的证据，工厂尊重本条原则。</v>
      </c>
      <c r="E183" s="515"/>
      <c r="F183" s="515"/>
      <c r="G183" s="515"/>
      <c r="H183" s="515"/>
      <c r="I183" s="515"/>
      <c r="J183" s="515"/>
      <c r="K183" s="516"/>
      <c r="L183" s="135"/>
      <c r="M183" s="134"/>
      <c r="N183" s="134"/>
      <c r="O183" s="134"/>
      <c r="P183" s="134"/>
    </row>
    <row r="184" spans="1:20" ht="15.5">
      <c r="A184" s="527"/>
      <c r="B184" s="528"/>
      <c r="D184" s="517"/>
      <c r="E184" s="518"/>
      <c r="F184" s="518"/>
      <c r="G184" s="518"/>
      <c r="H184" s="518"/>
      <c r="I184" s="518"/>
      <c r="J184" s="518"/>
      <c r="K184" s="519"/>
      <c r="L184" s="136"/>
      <c r="M184" s="134"/>
      <c r="N184" s="134"/>
      <c r="O184" s="134"/>
      <c r="P184" s="134"/>
    </row>
    <row r="185" spans="1:20" ht="20.25" hidden="1" customHeight="1">
      <c r="A185" s="521" t="s">
        <v>42</v>
      </c>
      <c r="B185" s="522"/>
      <c r="D185" s="525" t="s">
        <v>93</v>
      </c>
      <c r="E185" s="515"/>
      <c r="F185" s="515"/>
      <c r="G185" s="515"/>
      <c r="H185" s="515"/>
      <c r="I185" s="515"/>
      <c r="J185" s="515"/>
      <c r="K185" s="516"/>
      <c r="L185" s="137"/>
      <c r="M185" s="134"/>
      <c r="N185" s="134"/>
      <c r="O185" s="134"/>
      <c r="P185" s="134"/>
    </row>
    <row r="186" spans="1:20" ht="15.5" hidden="1">
      <c r="A186" s="523"/>
      <c r="B186" s="524"/>
      <c r="D186" s="517"/>
      <c r="E186" s="518"/>
      <c r="F186" s="518"/>
      <c r="G186" s="518"/>
      <c r="H186" s="518"/>
      <c r="I186" s="518"/>
      <c r="J186" s="518"/>
      <c r="K186" s="519"/>
      <c r="L186" s="138"/>
      <c r="M186" s="134"/>
      <c r="N186" s="134"/>
      <c r="O186" s="134"/>
      <c r="P186" s="134"/>
    </row>
    <row r="187" spans="1:20" ht="12.75" hidden="1" customHeight="1">
      <c r="A187" s="13"/>
      <c r="D187" s="67"/>
      <c r="F187" s="125"/>
      <c r="G187" s="126"/>
      <c r="H187" s="126"/>
      <c r="I187" s="126"/>
      <c r="J187" s="126"/>
      <c r="K187" s="126"/>
      <c r="M187" s="134"/>
      <c r="N187" s="134"/>
      <c r="O187" s="134"/>
      <c r="P187" s="134"/>
    </row>
    <row r="188" spans="1:20" s="1" customFormat="1" ht="27.75" customHeight="1">
      <c r="A188" s="56" t="s">
        <v>26</v>
      </c>
      <c r="B188" s="18"/>
      <c r="C188" s="13"/>
      <c r="D188" s="56"/>
      <c r="E188" s="17" t="str">
        <f>IF(COUNTIF(F191:F194,"Partially")+COUNTIF(F191:F194,"NO")&gt;0,"Failed","Perfect")</f>
        <v>Perfect</v>
      </c>
      <c r="F188" s="56"/>
      <c r="G188" s="541" t="s">
        <v>871</v>
      </c>
      <c r="H188" s="541"/>
      <c r="I188" s="541"/>
      <c r="J188" s="541"/>
      <c r="K188" s="541"/>
      <c r="L188" s="10"/>
      <c r="M188" s="134"/>
      <c r="N188" s="134"/>
      <c r="O188" s="134"/>
      <c r="P188" s="134"/>
      <c r="Q188" s="160"/>
      <c r="R188" s="160"/>
      <c r="S188" s="160"/>
      <c r="T188" s="160"/>
    </row>
    <row r="189" spans="1:20" ht="52.5" customHeight="1">
      <c r="A189" s="128" t="s">
        <v>0</v>
      </c>
      <c r="B189" s="129" t="s">
        <v>760</v>
      </c>
      <c r="D189" s="133" t="s">
        <v>1</v>
      </c>
      <c r="E189" s="129" t="s">
        <v>665</v>
      </c>
      <c r="F189" s="133" t="s">
        <v>697</v>
      </c>
      <c r="G189" s="540" t="s">
        <v>43</v>
      </c>
      <c r="H189" s="530"/>
      <c r="I189" s="530"/>
      <c r="J189" s="530"/>
      <c r="K189" s="503"/>
      <c r="M189" s="134"/>
      <c r="N189" s="134"/>
      <c r="O189" s="134"/>
      <c r="P189" s="134"/>
      <c r="Q189" s="540" t="s">
        <v>879</v>
      </c>
      <c r="R189" s="549"/>
      <c r="S189" s="549"/>
      <c r="T189" s="550"/>
    </row>
    <row r="190" spans="1:20" ht="24" customHeight="1">
      <c r="A190" s="2"/>
      <c r="B190" s="5"/>
      <c r="D190" s="68"/>
      <c r="E190" s="5"/>
      <c r="F190" s="133"/>
      <c r="G190" s="133" t="s">
        <v>44</v>
      </c>
      <c r="H190" s="133" t="s">
        <v>45</v>
      </c>
      <c r="I190" s="133" t="s">
        <v>46</v>
      </c>
      <c r="J190" s="133" t="s">
        <v>47</v>
      </c>
      <c r="K190" s="133" t="s">
        <v>847</v>
      </c>
      <c r="M190" s="134"/>
      <c r="N190" s="134"/>
      <c r="O190" s="134"/>
      <c r="P190" s="134"/>
      <c r="Q190" s="540" t="s">
        <v>17</v>
      </c>
      <c r="R190" s="550"/>
      <c r="S190" s="540" t="s">
        <v>880</v>
      </c>
      <c r="T190" s="550"/>
    </row>
    <row r="191" spans="1:20" ht="15.5">
      <c r="A191" s="13">
        <v>10.1</v>
      </c>
      <c r="C191" s="13" t="s">
        <v>960</v>
      </c>
      <c r="D191" t="s">
        <v>654</v>
      </c>
      <c r="E191" s="11" t="s">
        <v>728</v>
      </c>
      <c r="F191" s="242" t="str">
        <f>IF(Q191="","YES","PARTIALLY")</f>
        <v>YES</v>
      </c>
      <c r="G191" s="143" t="s">
        <v>39</v>
      </c>
      <c r="H191" s="143" t="s">
        <v>39</v>
      </c>
      <c r="I191" s="143" t="s">
        <v>39</v>
      </c>
      <c r="J191" s="143" t="s">
        <v>39</v>
      </c>
      <c r="K191" s="143" t="s">
        <v>41</v>
      </c>
      <c r="L191" s="134"/>
      <c r="M191" s="134"/>
      <c r="N191" s="134"/>
      <c r="O191" s="134"/>
      <c r="P191" s="134"/>
      <c r="Q191" s="551"/>
      <c r="R191" s="552"/>
      <c r="S191" s="551" t="str">
        <f>uniform!B147</f>
        <v/>
      </c>
      <c r="T191" s="552"/>
    </row>
    <row r="192" spans="1:20" ht="33" customHeight="1">
      <c r="A192" s="13">
        <v>10.199999999999999</v>
      </c>
      <c r="C192" s="13" t="s">
        <v>961</v>
      </c>
      <c r="D192" t="s">
        <v>265</v>
      </c>
      <c r="E192" s="11" t="s">
        <v>728</v>
      </c>
      <c r="F192" s="242" t="str">
        <f t="shared" ref="F192:F194" si="8">IF(Q192="","YES","PARTIALLY")</f>
        <v>YES</v>
      </c>
      <c r="G192" s="143" t="s">
        <v>39</v>
      </c>
      <c r="H192" s="143" t="s">
        <v>39</v>
      </c>
      <c r="I192" s="143" t="s">
        <v>39</v>
      </c>
      <c r="J192" s="143" t="s">
        <v>39</v>
      </c>
      <c r="K192" s="143" t="s">
        <v>41</v>
      </c>
      <c r="L192" s="134"/>
      <c r="M192" s="134"/>
      <c r="N192" s="134"/>
      <c r="O192" s="134"/>
      <c r="P192" s="134"/>
      <c r="Q192" s="551" t="str">
        <f>IF(uniform!B149=FALSE,Reference!B436&amp;CHAR(10)&amp;Reference!B437,"")&amp;IF(uniform!C149=FALSE,CHAR(10)&amp;CHAR(10)&amp;Reference!B442&amp;CHAR(10)&amp;Reference!B443,"")&amp;IF(uniform!D149=FALSE,CHAR(10)&amp;CHAR(10)&amp;Reference!B448&amp;CHAR(10)&amp;Reference!B449,"")&amp;IF(uniform!E149="No",CHAR(10)&amp;CHAR(10)&amp;Reference!B454&amp;CHAR(10)&amp;Reference!B455,"")&amp;IF(uniform!G149&lt;2,CHAR(10)&amp;CHAR(10)&amp;Reference!B461&amp;CHAR(10)&amp;Reference!B462,"")&amp;IF(uniform!I149="No",CHAR(10)&amp;CHAR(10)&amp;Reference!B467&amp;CHAR(10)&amp;Reference!B468,"")&amp;IF(uniform!L149=FALSE,CHAR(10)&amp;CHAR(10)&amp;Reference!B472&amp;CHAR(10)&amp;Reference!B473,"")</f>
        <v/>
      </c>
      <c r="R192" s="554"/>
      <c r="S192" s="555" t="str">
        <f>IF(uniform!B149=FALSE,Reference!B438&amp;CHAR(10)&amp;Reference!B439,"")&amp;IF(uniform!C149=FALSE,CHAR(10)&amp;CHAR(10)&amp;Reference!B444&amp;CHAR(10)&amp;Reference!B445,"")&amp;IF(uniform!D149=FALSE, CHAR(10)&amp;CHAR(10)&amp;Reference!B450&amp;CHAR(10)&amp;Reference!B451,"")&amp;IF(uniform!E149="No",CHAR(10)&amp;CHAR(10)&amp;Reference!B456&amp;CHAR(10)&amp;Reference!B457,"")&amp;IF(uniform!G149&lt;2,CHAR(10)&amp;CHAR(10)&amp;Reference!B463&amp;CHAR(10)&amp;Reference!B464,"")&amp;IF(uniform!I149="No",CHAR(10)&amp;CHAR(10)&amp;Reference!B469&amp;CHAR(10)&amp;Reference!B470,"")&amp;IF(uniform!L149=FALSE,CHAR(10)&amp;CHAR(10)&amp;Reference!B474&amp;CHAR(10)&amp;Reference!B475,"")</f>
        <v/>
      </c>
      <c r="T192" s="554"/>
    </row>
    <row r="193" spans="1:20" ht="35.25" customHeight="1">
      <c r="A193" s="13">
        <v>10.3</v>
      </c>
      <c r="C193" s="13" t="s">
        <v>962</v>
      </c>
      <c r="D193" t="s">
        <v>655</v>
      </c>
      <c r="E193" s="11" t="s">
        <v>728</v>
      </c>
      <c r="F193" s="242" t="str">
        <f t="shared" si="8"/>
        <v>YES</v>
      </c>
      <c r="G193" s="143" t="s">
        <v>39</v>
      </c>
      <c r="H193" s="143" t="s">
        <v>39</v>
      </c>
      <c r="I193" s="143" t="s">
        <v>39</v>
      </c>
      <c r="J193" s="143" t="s">
        <v>39</v>
      </c>
      <c r="K193" s="143" t="s">
        <v>41</v>
      </c>
      <c r="L193" s="134"/>
      <c r="M193" s="134"/>
      <c r="N193" s="134"/>
      <c r="O193" s="134"/>
      <c r="P193" s="134"/>
      <c r="Q193" s="551" t="str">
        <f>IF(uniform!F149="No",Reference!B478&amp;CHAR(10)&amp;Reference!B479,"")</f>
        <v/>
      </c>
      <c r="R193" s="552"/>
      <c r="S193" s="551" t="str">
        <f>IF(uniform!F149="No",Reference!B480&amp;CHAR(10)&amp;Reference!B481,"")</f>
        <v/>
      </c>
      <c r="T193" s="552"/>
    </row>
    <row r="194" spans="1:20" ht="15.5">
      <c r="A194" s="13">
        <v>10.4</v>
      </c>
      <c r="C194" s="13" t="s">
        <v>963</v>
      </c>
      <c r="D194" t="s">
        <v>656</v>
      </c>
      <c r="E194" s="8" t="s">
        <v>704</v>
      </c>
      <c r="F194" s="242" t="str">
        <f t="shared" si="8"/>
        <v>YES</v>
      </c>
      <c r="G194" s="143" t="s">
        <v>39</v>
      </c>
      <c r="H194" s="143" t="s">
        <v>39</v>
      </c>
      <c r="I194" s="143" t="s">
        <v>39</v>
      </c>
      <c r="J194" s="143" t="s">
        <v>39</v>
      </c>
      <c r="K194" s="143" t="s">
        <v>41</v>
      </c>
      <c r="L194" s="134"/>
      <c r="M194" s="134"/>
      <c r="N194" s="134"/>
      <c r="O194" s="134"/>
      <c r="P194" s="134"/>
      <c r="Q194" s="551" t="s">
        <v>893</v>
      </c>
      <c r="R194" s="552"/>
      <c r="S194" s="551" t="s">
        <v>893</v>
      </c>
      <c r="T194" s="552"/>
    </row>
    <row r="195" spans="1:20" ht="7.5" hidden="1" customHeight="1">
      <c r="A195"/>
      <c r="B195"/>
      <c r="C195"/>
      <c r="D195"/>
      <c r="E195" s="13"/>
      <c r="L195" s="139"/>
      <c r="M195" s="134"/>
      <c r="N195" s="134"/>
      <c r="O195" s="134"/>
      <c r="P195" s="134"/>
    </row>
    <row r="196" spans="1:20" ht="22.5" customHeight="1">
      <c r="A196" s="15"/>
      <c r="D196" s="67"/>
      <c r="I196" s="520" t="s">
        <v>762</v>
      </c>
      <c r="J196" s="503"/>
      <c r="K196" s="150"/>
      <c r="L196" s="139"/>
      <c r="M196" s="134"/>
      <c r="N196" s="134"/>
      <c r="O196" s="134"/>
      <c r="P196" s="134"/>
    </row>
    <row r="197" spans="1:20" ht="9" hidden="1" customHeight="1">
      <c r="A197" s="15"/>
      <c r="D197" s="67"/>
      <c r="M197" s="134"/>
      <c r="N197" s="134"/>
      <c r="O197" s="134"/>
      <c r="P197" s="134"/>
    </row>
    <row r="198" spans="1:20" ht="50.15" customHeight="1">
      <c r="A198" s="521" t="s">
        <v>878</v>
      </c>
      <c r="B198" s="526"/>
      <c r="D198" s="525" t="str">
        <f>uniform!B153&amp;IF(COUNTIF(F191:F194,"Partially")+COUNTIF(F191:F194,"NO")&gt;0,B18,D18)</f>
        <v>The factory had established management procedures for recruitment, working hours, remuneration, training, disciplinary action, promotion, and dismissal to avoid precarious employment relationship. There was no dispatched worker, all workers were recruited directly by the factory. All sample workers' employment contracts were provided for review. The probation period was stipulated as at most 3 months. Each worker could get one copy of the employment contract. Based on satisfactory evidence, the factory respects this principle.</v>
      </c>
      <c r="E198" s="515"/>
      <c r="F198" s="515"/>
      <c r="G198" s="515"/>
      <c r="H198" s="515"/>
      <c r="I198" s="515"/>
      <c r="J198" s="515"/>
      <c r="K198" s="516"/>
      <c r="L198" s="135"/>
      <c r="M198" s="134"/>
      <c r="N198" s="134"/>
      <c r="O198" s="134"/>
      <c r="P198" s="134"/>
    </row>
    <row r="199" spans="1:20" ht="15.5">
      <c r="A199" s="527"/>
      <c r="B199" s="528"/>
      <c r="D199" s="517"/>
      <c r="E199" s="518"/>
      <c r="F199" s="518"/>
      <c r="G199" s="518"/>
      <c r="H199" s="518"/>
      <c r="I199" s="518"/>
      <c r="J199" s="518"/>
      <c r="K199" s="519"/>
      <c r="L199" s="136"/>
      <c r="M199" s="134"/>
      <c r="N199" s="134"/>
      <c r="O199" s="134"/>
      <c r="P199" s="134"/>
    </row>
    <row r="200" spans="1:20" ht="50.15" customHeight="1">
      <c r="A200" s="521" t="s">
        <v>877</v>
      </c>
      <c r="B200" s="526"/>
      <c r="D200" s="525" t="str">
        <f>uniform!B154&amp;IF(COUNTIF(F191:F194,"Partially")+COUNTIF(F191:F194,"NO")&gt;0,E18,F18)</f>
        <v>工厂建立了招聘，工时，薪酬，培训，惩戒，晋升和辞退的管理程序，以避免无保障的，不稳定的雇佣关系。没有使用派遣工人，所有工人由工厂直接招聘。所有抽样员工的劳动合同被提供给审核。约定的试用期最多是3个月。每个员工都获得了劳动合同的副本。基于令人满意的证据，工厂尊重本条原则。</v>
      </c>
      <c r="E200" s="515"/>
      <c r="F200" s="515"/>
      <c r="G200" s="515"/>
      <c r="H200" s="515"/>
      <c r="I200" s="515"/>
      <c r="J200" s="515"/>
      <c r="K200" s="516"/>
      <c r="L200" s="135"/>
      <c r="M200" s="134"/>
      <c r="N200" s="134"/>
      <c r="O200" s="134"/>
      <c r="P200" s="134"/>
    </row>
    <row r="201" spans="1:20" ht="15.5">
      <c r="A201" s="527"/>
      <c r="B201" s="528"/>
      <c r="D201" s="517"/>
      <c r="E201" s="518"/>
      <c r="F201" s="518"/>
      <c r="G201" s="518"/>
      <c r="H201" s="518"/>
      <c r="I201" s="518"/>
      <c r="J201" s="518"/>
      <c r="K201" s="519"/>
      <c r="L201" s="136"/>
      <c r="M201" s="134"/>
      <c r="N201" s="134"/>
      <c r="O201" s="134"/>
      <c r="P201" s="134"/>
    </row>
    <row r="202" spans="1:20" ht="22.5" hidden="1" customHeight="1">
      <c r="A202" s="521" t="s">
        <v>42</v>
      </c>
      <c r="B202" s="522"/>
      <c r="D202" s="525" t="s">
        <v>93</v>
      </c>
      <c r="E202" s="515"/>
      <c r="F202" s="515"/>
      <c r="G202" s="515"/>
      <c r="H202" s="515"/>
      <c r="I202" s="515"/>
      <c r="J202" s="515"/>
      <c r="K202" s="516"/>
      <c r="L202" s="137"/>
      <c r="M202" s="134"/>
      <c r="N202" s="134"/>
      <c r="O202" s="134"/>
      <c r="P202" s="134"/>
    </row>
    <row r="203" spans="1:20" ht="15.5" hidden="1">
      <c r="A203" s="523"/>
      <c r="B203" s="524"/>
      <c r="D203" s="517"/>
      <c r="E203" s="518"/>
      <c r="F203" s="518"/>
      <c r="G203" s="518"/>
      <c r="H203" s="518"/>
      <c r="I203" s="518"/>
      <c r="J203" s="518"/>
      <c r="K203" s="519"/>
      <c r="L203" s="138"/>
      <c r="M203" s="134"/>
      <c r="N203" s="134"/>
      <c r="O203" s="134"/>
      <c r="P203" s="134"/>
    </row>
    <row r="204" spans="1:20" ht="17.25" hidden="1" customHeight="1">
      <c r="A204" s="13"/>
      <c r="D204" s="67"/>
      <c r="F204" s="125"/>
      <c r="G204" s="126"/>
      <c r="H204" s="126"/>
      <c r="I204" s="126"/>
      <c r="J204" s="126"/>
      <c r="K204" s="126"/>
      <c r="M204" s="134"/>
      <c r="N204" s="134"/>
      <c r="O204" s="134"/>
      <c r="P204" s="134"/>
    </row>
    <row r="205" spans="1:20" s="1" customFormat="1" ht="34.5" customHeight="1">
      <c r="A205" s="56" t="s">
        <v>27</v>
      </c>
      <c r="B205" s="18"/>
      <c r="C205" s="13"/>
      <c r="D205" s="56"/>
      <c r="E205" s="17" t="str">
        <f>IF(COUNTIF(F208:F211,"Partially")+COUNTIF(F208:F211,"NO")&gt;0,"Failed","Perfect")</f>
        <v>Perfect</v>
      </c>
      <c r="F205" s="56"/>
      <c r="G205" s="541" t="s">
        <v>871</v>
      </c>
      <c r="H205" s="541"/>
      <c r="I205" s="541"/>
      <c r="J205" s="541"/>
      <c r="K205" s="541"/>
      <c r="L205" s="10"/>
      <c r="M205" s="134"/>
      <c r="N205" s="134"/>
      <c r="O205" s="134"/>
      <c r="P205" s="134"/>
      <c r="Q205" s="160"/>
      <c r="R205" s="160"/>
      <c r="S205" s="160"/>
      <c r="T205" s="160"/>
    </row>
    <row r="206" spans="1:20" ht="48" hidden="1" customHeight="1">
      <c r="A206" s="128" t="s">
        <v>0</v>
      </c>
      <c r="B206" s="129" t="s">
        <v>760</v>
      </c>
      <c r="D206" s="133" t="s">
        <v>1</v>
      </c>
      <c r="E206" s="129" t="s">
        <v>665</v>
      </c>
      <c r="F206" s="133" t="s">
        <v>697</v>
      </c>
      <c r="G206" s="540" t="s">
        <v>43</v>
      </c>
      <c r="H206" s="530"/>
      <c r="I206" s="530"/>
      <c r="J206" s="530"/>
      <c r="K206" s="503"/>
      <c r="M206" s="134"/>
      <c r="N206" s="134"/>
      <c r="O206" s="134"/>
      <c r="P206" s="134"/>
      <c r="Q206" s="540" t="s">
        <v>879</v>
      </c>
      <c r="R206" s="549"/>
      <c r="S206" s="549"/>
      <c r="T206" s="550"/>
    </row>
    <row r="207" spans="1:20" ht="25.5" hidden="1" customHeight="1">
      <c r="A207" s="2"/>
      <c r="B207" s="5"/>
      <c r="D207" s="68"/>
      <c r="E207" s="5"/>
      <c r="F207" s="133"/>
      <c r="G207" s="133" t="s">
        <v>44</v>
      </c>
      <c r="H207" s="133" t="s">
        <v>45</v>
      </c>
      <c r="I207" s="133" t="s">
        <v>46</v>
      </c>
      <c r="J207" s="133" t="s">
        <v>47</v>
      </c>
      <c r="K207" s="133" t="s">
        <v>847</v>
      </c>
      <c r="M207" s="134"/>
      <c r="N207" s="134"/>
      <c r="O207" s="134"/>
      <c r="P207" s="134"/>
      <c r="Q207" s="540" t="s">
        <v>17</v>
      </c>
      <c r="R207" s="550"/>
      <c r="S207" s="540" t="s">
        <v>880</v>
      </c>
      <c r="T207" s="550"/>
    </row>
    <row r="208" spans="1:20" ht="27.75" hidden="1" customHeight="1">
      <c r="A208" s="13">
        <v>11.1</v>
      </c>
      <c r="C208" s="13" t="s">
        <v>964</v>
      </c>
      <c r="D208" s="66" t="s">
        <v>270</v>
      </c>
      <c r="E208" s="8" t="s">
        <v>704</v>
      </c>
      <c r="F208" s="242" t="str">
        <f>IF(Q208="","YES","PARTIALLY")</f>
        <v>YES</v>
      </c>
      <c r="G208" s="143" t="s">
        <v>39</v>
      </c>
      <c r="H208" s="143" t="s">
        <v>39</v>
      </c>
      <c r="I208" s="143" t="s">
        <v>41</v>
      </c>
      <c r="J208" s="143" t="s">
        <v>39</v>
      </c>
      <c r="K208" s="143" t="s">
        <v>41</v>
      </c>
      <c r="L208" s="134"/>
      <c r="M208" s="134"/>
      <c r="N208" s="134"/>
      <c r="O208" s="134"/>
      <c r="P208" s="134"/>
      <c r="Q208" s="551" t="s">
        <v>893</v>
      </c>
      <c r="R208" s="552"/>
      <c r="S208" s="551" t="s">
        <v>893</v>
      </c>
      <c r="T208" s="552"/>
    </row>
    <row r="209" spans="1:20" ht="29" hidden="1">
      <c r="A209" s="13">
        <v>11.2</v>
      </c>
      <c r="C209" s="13" t="s">
        <v>965</v>
      </c>
      <c r="D209" s="67" t="s">
        <v>657</v>
      </c>
      <c r="E209" s="11" t="s">
        <v>728</v>
      </c>
      <c r="F209" s="242" t="str">
        <f t="shared" ref="F209:F211" si="9">IF(Q209="","YES","PARTIALLY")</f>
        <v>YES</v>
      </c>
      <c r="G209" s="143" t="s">
        <v>39</v>
      </c>
      <c r="H209" s="143" t="s">
        <v>39</v>
      </c>
      <c r="I209" s="143" t="s">
        <v>41</v>
      </c>
      <c r="J209" s="143" t="s">
        <v>39</v>
      </c>
      <c r="K209" s="143" t="s">
        <v>41</v>
      </c>
      <c r="L209" s="134"/>
      <c r="M209" s="134"/>
      <c r="N209" s="134"/>
      <c r="O209" s="134"/>
      <c r="P209" s="134"/>
      <c r="Q209" s="551" t="s">
        <v>893</v>
      </c>
      <c r="R209" s="552"/>
      <c r="S209" s="551" t="s">
        <v>893</v>
      </c>
      <c r="T209" s="552"/>
    </row>
    <row r="210" spans="1:20" ht="33.75" hidden="1" customHeight="1">
      <c r="A210" s="13">
        <v>11.3</v>
      </c>
      <c r="C210" s="13" t="s">
        <v>966</v>
      </c>
      <c r="D210" s="66" t="s">
        <v>37</v>
      </c>
      <c r="E210" s="8" t="s">
        <v>704</v>
      </c>
      <c r="F210" s="242" t="str">
        <f t="shared" si="9"/>
        <v>YES</v>
      </c>
      <c r="G210" s="143" t="s">
        <v>39</v>
      </c>
      <c r="H210" s="143" t="s">
        <v>39</v>
      </c>
      <c r="I210" s="143" t="s">
        <v>39</v>
      </c>
      <c r="J210" s="143" t="s">
        <v>39</v>
      </c>
      <c r="K210" s="143" t="s">
        <v>39</v>
      </c>
      <c r="L210" s="134"/>
      <c r="M210" s="134"/>
      <c r="N210" s="134"/>
      <c r="O210" s="134"/>
      <c r="P210" s="134"/>
      <c r="Q210" s="551" t="s">
        <v>893</v>
      </c>
      <c r="R210" s="552"/>
      <c r="S210" s="551" t="s">
        <v>893</v>
      </c>
      <c r="T210" s="552"/>
    </row>
    <row r="211" spans="1:20" ht="29.25" hidden="1" customHeight="1">
      <c r="A211" s="13">
        <v>11.4</v>
      </c>
      <c r="C211" s="13" t="s">
        <v>967</v>
      </c>
      <c r="D211" s="67" t="s">
        <v>658</v>
      </c>
      <c r="E211" s="11" t="s">
        <v>728</v>
      </c>
      <c r="F211" s="242" t="str">
        <f t="shared" si="9"/>
        <v>YES</v>
      </c>
      <c r="G211" s="143" t="s">
        <v>39</v>
      </c>
      <c r="H211" s="143" t="s">
        <v>39</v>
      </c>
      <c r="I211" s="143" t="s">
        <v>41</v>
      </c>
      <c r="J211" s="143" t="s">
        <v>39</v>
      </c>
      <c r="K211" s="143" t="s">
        <v>41</v>
      </c>
      <c r="L211" s="134"/>
      <c r="M211" s="134"/>
      <c r="N211" s="134"/>
      <c r="O211" s="134"/>
      <c r="P211" s="134"/>
      <c r="Q211" s="551" t="str">
        <f>IF(uniform!B156=FALSE,Reference!B511,"")</f>
        <v/>
      </c>
      <c r="R211" s="552"/>
      <c r="S211" s="551" t="str">
        <f>IF(uniform!B156=FALSE,Reference!B512,"")</f>
        <v/>
      </c>
      <c r="T211" s="552"/>
    </row>
    <row r="212" spans="1:20" ht="9.75" hidden="1" customHeight="1">
      <c r="A212"/>
      <c r="B212"/>
      <c r="C212"/>
      <c r="D212"/>
      <c r="E212" s="13"/>
      <c r="L212" s="139"/>
      <c r="M212" s="134"/>
      <c r="N212" s="134"/>
      <c r="O212" s="134"/>
      <c r="P212" s="134"/>
    </row>
    <row r="213" spans="1:20" ht="22.5" customHeight="1">
      <c r="A213" s="15"/>
      <c r="D213" s="67"/>
      <c r="I213" s="520" t="s">
        <v>762</v>
      </c>
      <c r="J213" s="503"/>
      <c r="K213" s="150"/>
      <c r="L213" s="139"/>
      <c r="M213" s="134"/>
      <c r="N213" s="134"/>
      <c r="O213" s="134"/>
      <c r="P213" s="134"/>
    </row>
    <row r="214" spans="1:20" ht="9.75" hidden="1" customHeight="1">
      <c r="A214" s="15"/>
      <c r="D214" s="67"/>
      <c r="M214" s="134"/>
      <c r="N214" s="134"/>
      <c r="O214" s="134"/>
      <c r="P214" s="134"/>
    </row>
    <row r="215" spans="1:20" ht="50.15" customHeight="1">
      <c r="A215" s="521" t="s">
        <v>878</v>
      </c>
      <c r="B215" s="526"/>
      <c r="D215" s="525" t="str">
        <f>uniform!B157&amp;IF(COUNTIF(F208:F211,"Partially")+COUNTIF(F208:F211,"NO")&gt;0,B18,D18)</f>
        <v>The factory had established the policy on anti-forced labour. Management representatives understood the scope of forced labour. As per factory regulations and worker interviews, it was confirmed that workers were hired freely without monetary deposit or original personal documents withheld. The factory has developed a policy to minimize, eliminate or reimburse the recruitment fees &amp; related costs. No recruitment consultancy or recruitment agency was involved in this factory. There was no restriction on workers' movement, and workers could access to drinking water or toilet facilities as they desired and left the factory freely when they were off duty. Overtime hours were arranged on workers' voluntary basis. All workers could resign freely without being deducted from wages. No inhumane or degrading treatment was found during the audit. The discipline policy included verbal warning, written warning letter and termination, which was in line with legal requirement. Based on satisfactory evidence, the factory respects this principle.</v>
      </c>
      <c r="E215" s="515"/>
      <c r="F215" s="515"/>
      <c r="G215" s="515"/>
      <c r="H215" s="515"/>
      <c r="I215" s="515"/>
      <c r="J215" s="515"/>
      <c r="K215" s="516"/>
      <c r="L215" s="135"/>
      <c r="M215" s="134"/>
      <c r="N215" s="134"/>
      <c r="O215" s="134"/>
      <c r="P215" s="134"/>
    </row>
    <row r="216" spans="1:20" ht="15.5">
      <c r="A216" s="527"/>
      <c r="B216" s="528"/>
      <c r="D216" s="517"/>
      <c r="E216" s="518"/>
      <c r="F216" s="518"/>
      <c r="G216" s="518"/>
      <c r="H216" s="518"/>
      <c r="I216" s="518"/>
      <c r="J216" s="518"/>
      <c r="K216" s="519"/>
      <c r="L216" s="136"/>
      <c r="M216" s="134"/>
      <c r="N216" s="134"/>
      <c r="O216" s="134"/>
      <c r="P216" s="134"/>
    </row>
    <row r="217" spans="1:20" ht="50.15" customHeight="1">
      <c r="A217" s="521" t="s">
        <v>877</v>
      </c>
      <c r="B217" s="526"/>
      <c r="D217" s="525" t="str">
        <f>uniform!B158&amp;IF(COUNTIF(F208:F211,"Partially")+COUNTIF(F208:F211,"NO")&gt;0,E18,F18)</f>
        <v>工厂制定了反强迫劳动的政策，管理代表理解哪些方式是属于强迫劳动的范畴。通过查看工厂的规章制度以及员工访谈发现，员工都是自主选择在工厂工作，没有交付押金或者个人证件的原件。工厂制定了一项政策，以尽量减少、消除或报销招聘费用和相关费用。这家工厂没有招聘顾问或招聘中介。员工在工厂内的行动自由，喝水或使用洗手间或在下班后自由活动都不受限制。加班也是基于员工自愿。员工可以自由辞职而不会被克扣工资。审核中未发现有侮辱或非人道的待遇的现象。惩戒政策包括口头警告，警告信，终止合同，这是符合法规的。 基于令人满意的证据，工厂尊重本条原则。</v>
      </c>
      <c r="E217" s="515"/>
      <c r="F217" s="515"/>
      <c r="G217" s="515"/>
      <c r="H217" s="515"/>
      <c r="I217" s="515"/>
      <c r="J217" s="515"/>
      <c r="K217" s="516"/>
      <c r="L217" s="135"/>
      <c r="M217" s="134"/>
      <c r="N217" s="134"/>
      <c r="O217" s="134"/>
      <c r="P217" s="134"/>
    </row>
    <row r="218" spans="1:20" ht="15.5">
      <c r="A218" s="527"/>
      <c r="B218" s="528"/>
      <c r="D218" s="517"/>
      <c r="E218" s="518"/>
      <c r="F218" s="518"/>
      <c r="G218" s="518"/>
      <c r="H218" s="518"/>
      <c r="I218" s="518"/>
      <c r="J218" s="518"/>
      <c r="K218" s="519"/>
      <c r="L218" s="136"/>
      <c r="M218" s="134"/>
      <c r="N218" s="134"/>
      <c r="O218" s="134"/>
      <c r="P218" s="134"/>
    </row>
    <row r="219" spans="1:20" ht="20.25" hidden="1" customHeight="1">
      <c r="A219" s="521" t="s">
        <v>42</v>
      </c>
      <c r="B219" s="522"/>
      <c r="D219" s="525" t="s">
        <v>93</v>
      </c>
      <c r="E219" s="515"/>
      <c r="F219" s="515"/>
      <c r="G219" s="515"/>
      <c r="H219" s="515"/>
      <c r="I219" s="515"/>
      <c r="J219" s="515"/>
      <c r="K219" s="516"/>
      <c r="L219" s="137"/>
      <c r="M219" s="134"/>
      <c r="N219" s="134"/>
      <c r="O219" s="134"/>
      <c r="P219" s="134"/>
    </row>
    <row r="220" spans="1:20" ht="15.5" hidden="1">
      <c r="A220" s="523"/>
      <c r="B220" s="524"/>
      <c r="D220" s="517"/>
      <c r="E220" s="518"/>
      <c r="F220" s="518"/>
      <c r="G220" s="518"/>
      <c r="H220" s="518"/>
      <c r="I220" s="518"/>
      <c r="J220" s="518"/>
      <c r="K220" s="519"/>
      <c r="L220" s="138"/>
      <c r="M220" s="134"/>
      <c r="N220" s="134"/>
      <c r="O220" s="134"/>
      <c r="P220" s="134"/>
    </row>
    <row r="221" spans="1:20" ht="13.5" hidden="1" customHeight="1">
      <c r="A221" s="13"/>
      <c r="D221" s="67"/>
      <c r="F221" s="125"/>
      <c r="G221" s="126"/>
      <c r="H221" s="126"/>
      <c r="I221" s="126"/>
      <c r="J221" s="126"/>
      <c r="K221" s="126"/>
      <c r="M221" s="134"/>
      <c r="N221" s="134"/>
      <c r="O221" s="134"/>
      <c r="P221" s="134"/>
    </row>
    <row r="222" spans="1:20" s="1" customFormat="1" ht="30" customHeight="1">
      <c r="A222" s="56" t="s">
        <v>28</v>
      </c>
      <c r="B222" s="18"/>
      <c r="C222" s="13"/>
      <c r="D222" s="56"/>
      <c r="E222" s="17" t="str">
        <f>IF(COUNTIF(F225:F229,"Partially")+COUNTIF(F225:F229,"NO")&gt;0,"Failed","Perfect")</f>
        <v>Perfect</v>
      </c>
      <c r="F222" s="56"/>
      <c r="G222" s="541" t="s">
        <v>871</v>
      </c>
      <c r="H222" s="541"/>
      <c r="I222" s="541"/>
      <c r="J222" s="541"/>
      <c r="K222" s="541"/>
      <c r="L222" s="10"/>
      <c r="M222" s="134"/>
      <c r="N222" s="134"/>
      <c r="O222" s="134"/>
      <c r="P222" s="134"/>
      <c r="Q222" s="160"/>
      <c r="R222" s="160"/>
      <c r="S222" s="160"/>
      <c r="T222" s="160"/>
    </row>
    <row r="223" spans="1:20" ht="54" customHeight="1">
      <c r="A223" s="128" t="s">
        <v>0</v>
      </c>
      <c r="B223" s="129" t="s">
        <v>760</v>
      </c>
      <c r="D223" s="133" t="s">
        <v>1</v>
      </c>
      <c r="E223" s="129" t="s">
        <v>665</v>
      </c>
      <c r="F223" s="133" t="s">
        <v>697</v>
      </c>
      <c r="G223" s="540" t="s">
        <v>43</v>
      </c>
      <c r="H223" s="530"/>
      <c r="I223" s="530"/>
      <c r="J223" s="530"/>
      <c r="K223" s="503"/>
      <c r="M223" s="134"/>
      <c r="N223" s="134"/>
      <c r="O223" s="134"/>
      <c r="P223" s="134"/>
      <c r="Q223" s="540" t="s">
        <v>879</v>
      </c>
      <c r="R223" s="549"/>
      <c r="S223" s="549"/>
      <c r="T223" s="550"/>
    </row>
    <row r="224" spans="1:20" ht="22.5" customHeight="1">
      <c r="A224" s="2"/>
      <c r="B224" s="5"/>
      <c r="D224" s="68"/>
      <c r="E224" s="5"/>
      <c r="F224" s="133"/>
      <c r="G224" s="133" t="s">
        <v>44</v>
      </c>
      <c r="H224" s="133" t="s">
        <v>45</v>
      </c>
      <c r="I224" s="133" t="s">
        <v>46</v>
      </c>
      <c r="J224" s="133" t="s">
        <v>47</v>
      </c>
      <c r="K224" s="133" t="s">
        <v>847</v>
      </c>
      <c r="M224" s="134"/>
      <c r="N224" s="134"/>
      <c r="O224" s="134"/>
      <c r="P224" s="134"/>
      <c r="Q224" s="540" t="s">
        <v>17</v>
      </c>
      <c r="R224" s="550"/>
      <c r="S224" s="540" t="s">
        <v>880</v>
      </c>
      <c r="T224" s="550"/>
    </row>
    <row r="225" spans="1:20" ht="15.5">
      <c r="A225" s="13">
        <v>12.1</v>
      </c>
      <c r="B225" s="5"/>
      <c r="C225" s="13" t="s">
        <v>968</v>
      </c>
      <c r="D225" t="s">
        <v>659</v>
      </c>
      <c r="E225" s="11" t="s">
        <v>728</v>
      </c>
      <c r="F225" s="242" t="str">
        <f>IF(Q225="","YES","PARTIALLY")</f>
        <v>YES</v>
      </c>
      <c r="G225" s="143" t="s">
        <v>39</v>
      </c>
      <c r="H225" s="143" t="s">
        <v>39</v>
      </c>
      <c r="I225" s="143" t="s">
        <v>41</v>
      </c>
      <c r="J225" s="143" t="s">
        <v>39</v>
      </c>
      <c r="K225" s="143" t="s">
        <v>39</v>
      </c>
      <c r="L225" s="134"/>
      <c r="M225" s="134"/>
      <c r="N225" s="134"/>
      <c r="O225" s="134"/>
      <c r="P225" s="134"/>
      <c r="Q225" s="551" t="s">
        <v>893</v>
      </c>
      <c r="R225" s="552"/>
      <c r="S225" s="551" t="s">
        <v>893</v>
      </c>
      <c r="T225" s="552"/>
    </row>
    <row r="226" spans="1:20" ht="15.5">
      <c r="A226" s="13">
        <v>12.2</v>
      </c>
      <c r="C226" s="13" t="s">
        <v>969</v>
      </c>
      <c r="D226" t="s">
        <v>660</v>
      </c>
      <c r="E226" s="11" t="s">
        <v>728</v>
      </c>
      <c r="F226" s="242" t="str">
        <f t="shared" ref="F226:F229" si="10">IF(Q226="","YES","PARTIALLY")</f>
        <v>YES</v>
      </c>
      <c r="G226" s="143" t="s">
        <v>39</v>
      </c>
      <c r="H226" s="143" t="s">
        <v>39</v>
      </c>
      <c r="I226" s="143" t="s">
        <v>41</v>
      </c>
      <c r="J226" s="143" t="s">
        <v>39</v>
      </c>
      <c r="K226" s="143" t="s">
        <v>41</v>
      </c>
      <c r="L226" s="134"/>
      <c r="M226" s="134"/>
      <c r="N226" s="134"/>
      <c r="O226" s="134"/>
      <c r="P226" s="134"/>
      <c r="Q226" s="551" t="s">
        <v>893</v>
      </c>
      <c r="R226" s="552"/>
      <c r="S226" s="551" t="s">
        <v>893</v>
      </c>
      <c r="T226" s="552"/>
    </row>
    <row r="227" spans="1:20" ht="30.75" customHeight="1">
      <c r="A227" s="13">
        <v>12.3</v>
      </c>
      <c r="C227" s="13" t="s">
        <v>970</v>
      </c>
      <c r="D227" t="s">
        <v>38</v>
      </c>
      <c r="E227" s="11" t="s">
        <v>728</v>
      </c>
      <c r="F227" s="242" t="str">
        <f t="shared" si="10"/>
        <v>YES</v>
      </c>
      <c r="G227" s="143" t="s">
        <v>39</v>
      </c>
      <c r="H227" s="143" t="s">
        <v>39</v>
      </c>
      <c r="I227" s="143" t="s">
        <v>41</v>
      </c>
      <c r="J227" s="143" t="s">
        <v>39</v>
      </c>
      <c r="K227" s="143" t="s">
        <v>39</v>
      </c>
      <c r="L227" s="134"/>
      <c r="M227" s="134"/>
      <c r="N227" s="134"/>
      <c r="O227" s="134"/>
      <c r="P227" s="134"/>
      <c r="Q227" s="551" t="str">
        <f>IF(uniform!B161="NO",Reference!B514&amp;CHAR(10)&amp;Reference!B515,"")&amp;IF(uniform!C161=FALSE,CHAR(10)&amp;CHAR(10)&amp;Reference!B520&amp;CHAR(10)&amp;Reference!B521,"")&amp;IF(uniform!D161=FALSE,CHAR(10)&amp;CHAR(10)&amp;Reference!B526&amp;CHAR(10)&amp;Reference!B527,"")&amp;IF(uniform!E161=FALSE,CHAR(10)&amp;CHAR(10)&amp;Reference!B532&amp;CHAR(10)&amp;Reference!B533,"")</f>
        <v/>
      </c>
      <c r="R227" s="552"/>
      <c r="S227" s="551" t="str">
        <f>IF(uniform!B161="No",Reference!B516&amp;CHAR(10)&amp;Reference!B517,"")&amp;IF(uniform!C161=FALSE,CHAR(10)&amp;CHAR(10)&amp;Reference!B522&amp;CHAR(10)&amp;Reference!B523,"")&amp;IF(uniform!D161=FALSE,CHAR(10)&amp;CHAR(10)&amp;Reference!B528&amp;CHAR(10)&amp;Reference!B529,"")&amp;IF(uniform!E161=FALSE,CHAR(10)&amp;CHAR(10)&amp;Reference!B534&amp;CHAR(10)&amp;Reference!B535,"")</f>
        <v/>
      </c>
      <c r="T227" s="552"/>
    </row>
    <row r="228" spans="1:20" ht="34.5" customHeight="1">
      <c r="A228" s="13">
        <v>12.4</v>
      </c>
      <c r="C228" s="13" t="s">
        <v>971</v>
      </c>
      <c r="D228" t="s">
        <v>661</v>
      </c>
      <c r="E228" s="11" t="s">
        <v>728</v>
      </c>
      <c r="F228" s="242" t="str">
        <f t="shared" si="10"/>
        <v>YES</v>
      </c>
      <c r="G228" s="143" t="s">
        <v>39</v>
      </c>
      <c r="H228" s="143" t="s">
        <v>39</v>
      </c>
      <c r="I228" s="143" t="s">
        <v>39</v>
      </c>
      <c r="J228" s="143" t="s">
        <v>39</v>
      </c>
      <c r="K228" s="143" t="s">
        <v>39</v>
      </c>
      <c r="L228" s="134"/>
      <c r="M228" s="134"/>
      <c r="N228" s="134"/>
      <c r="O228" s="134"/>
      <c r="P228" s="134"/>
      <c r="Q228" s="551" t="str">
        <f>IF(uniform!B165=TRUE, IF(uniform!C165=FALSE, Reference!B543&amp;CHAR(10)&amp;Reference!B544,""),"")&amp;IF(uniform!B165=TRUE, IF(uniform!E165=FALSE, CHAR(10)&amp;CHAR(10)&amp;Reference!B548&amp;CHAR(10)&amp;Reference!B549,""),"")&amp;IF(uniform!B165=TRUE, IF(uniform!G165=FALSE, CHAR(10)&amp;CHAR(10)&amp;Reference!B553&amp;CHAR(10)&amp;Reference!B554,""),"")</f>
        <v/>
      </c>
      <c r="R228" s="552"/>
      <c r="S228" s="551" t="str">
        <f>IF(uniform!B165=TRUE, IF(uniform!C165=FALSE, Reference!B545&amp;CHAR(10)&amp;Reference!B546,""),"")&amp;IF(uniform!B165=TRUE, IF(uniform!E165=FALSE, CHAR(10)&amp;CHAR(10)&amp;Reference!B550&amp;CHAR(10)&amp;Reference!B551,""),"")&amp;IF(uniform!B165=TRUE, IF(uniform!G165=FALSE, CHAR(10)&amp;CHAR(10)&amp;Reference!B555&amp;CHAR(10)&amp;Reference!B556,""),"")</f>
        <v/>
      </c>
      <c r="T228" s="552"/>
    </row>
    <row r="229" spans="1:20" ht="15.5">
      <c r="A229" s="13">
        <v>12.5</v>
      </c>
      <c r="C229" s="13" t="s">
        <v>972</v>
      </c>
      <c r="D229" t="s">
        <v>662</v>
      </c>
      <c r="E229" s="11" t="s">
        <v>728</v>
      </c>
      <c r="F229" s="242" t="str">
        <f t="shared" si="10"/>
        <v>YES</v>
      </c>
      <c r="G229" s="143" t="s">
        <v>39</v>
      </c>
      <c r="H229" s="143" t="s">
        <v>39</v>
      </c>
      <c r="I229" s="143" t="s">
        <v>41</v>
      </c>
      <c r="J229" s="143" t="s">
        <v>39</v>
      </c>
      <c r="K229" s="143" t="s">
        <v>39</v>
      </c>
      <c r="L229" s="134"/>
      <c r="M229" s="134"/>
      <c r="N229" s="134"/>
      <c r="O229" s="134"/>
      <c r="P229" s="134"/>
      <c r="Q229" s="551" t="s">
        <v>893</v>
      </c>
      <c r="R229" s="552"/>
      <c r="S229" s="551" t="s">
        <v>893</v>
      </c>
      <c r="T229" s="552"/>
    </row>
    <row r="230" spans="1:20" ht="6" hidden="1" customHeight="1">
      <c r="A230"/>
      <c r="B230"/>
      <c r="C230"/>
      <c r="D230"/>
      <c r="E230" s="13"/>
      <c r="L230" s="139"/>
      <c r="M230" s="134"/>
      <c r="N230" s="134"/>
      <c r="O230" s="134"/>
      <c r="P230" s="134"/>
    </row>
    <row r="231" spans="1:20" ht="22.5" customHeight="1">
      <c r="A231" s="15"/>
      <c r="D231" s="67"/>
      <c r="I231" s="520" t="s">
        <v>762</v>
      </c>
      <c r="J231" s="503"/>
      <c r="K231" s="150"/>
      <c r="L231" s="139"/>
      <c r="M231" s="134"/>
      <c r="N231" s="134"/>
      <c r="O231" s="134"/>
      <c r="P231" s="134"/>
    </row>
    <row r="232" spans="1:20" ht="7.5" hidden="1" customHeight="1">
      <c r="A232" s="15"/>
      <c r="D232" s="67"/>
      <c r="M232" s="134"/>
      <c r="N232" s="134"/>
      <c r="O232" s="134"/>
      <c r="P232" s="134"/>
    </row>
    <row r="233" spans="1:20" ht="50.15" customHeight="1">
      <c r="A233" s="521" t="s">
        <v>878</v>
      </c>
      <c r="B233" s="526"/>
      <c r="D233" s="525" t="str">
        <f>uniform!B162&amp;uniform!B168&amp;IF(COUNTIF(F225:F229,"Partially")+COUNTIF(F225:F229,"NO")&gt;0,B18,D18)</f>
        <v>The factory had commissioned a professional third-party company to conduct a detailed environmental impact assessment. The assessment report analyzed the environmental impact of production activities on the natural and social environment and proposes corresponding environmental protection measures. The acceptance report for the completion of environment protection project had been obtained. The hazardous wastes generated by the production process were collected and disposed by a qualified third-party supplier.The transfer manifests were kept and provided for review. A special warehouse was designed and designated to store hazardous waste. Based on satisfactory evidence, the factory respects this principle.</v>
      </c>
      <c r="E233" s="515"/>
      <c r="F233" s="515"/>
      <c r="G233" s="515"/>
      <c r="H233" s="515"/>
      <c r="I233" s="515"/>
      <c r="J233" s="515"/>
      <c r="K233" s="516"/>
      <c r="L233" s="135"/>
      <c r="M233" s="134"/>
      <c r="N233" s="134"/>
      <c r="O233" s="134"/>
      <c r="P233" s="134"/>
    </row>
    <row r="234" spans="1:20" ht="50.15" customHeight="1">
      <c r="A234" s="527"/>
      <c r="B234" s="528"/>
      <c r="D234" s="517"/>
      <c r="E234" s="518"/>
      <c r="F234" s="518"/>
      <c r="G234" s="518"/>
      <c r="H234" s="518"/>
      <c r="I234" s="518"/>
      <c r="J234" s="518"/>
      <c r="K234" s="519"/>
      <c r="L234" s="136"/>
      <c r="M234" s="134"/>
      <c r="N234" s="134"/>
      <c r="O234" s="134"/>
      <c r="P234" s="134"/>
    </row>
    <row r="235" spans="1:20" ht="50.15" customHeight="1">
      <c r="A235" s="521" t="s">
        <v>877</v>
      </c>
      <c r="B235" s="526"/>
      <c r="D235" s="525" t="str">
        <f>uniform!B163&amp;uniform!B169&amp;IF(COUNTIF(F225:F229,"Partially")+COUNTIF(F225:F229,"NO")&gt;0,E18,F18)</f>
        <v>工厂已经委托专业的第三方公司进行了详细的环境影响评价，该评价报告分析了生产活动对自然和社会环境可能带来的环境影响，提出了相应的环保措施。环保工程已通过竣工验收。生产过程中产生的危险废物由合格的第三方供应商收集和处理。转移联单被保留且提供给了审核。设置了一个专用的危险废弃物仓库。基于令人满意的证据，工厂尊重本条原则。</v>
      </c>
      <c r="E235" s="515"/>
      <c r="F235" s="515"/>
      <c r="G235" s="515"/>
      <c r="H235" s="515"/>
      <c r="I235" s="515"/>
      <c r="J235" s="515"/>
      <c r="K235" s="516"/>
      <c r="L235" s="135"/>
      <c r="M235" s="134"/>
      <c r="N235" s="134"/>
      <c r="O235" s="134"/>
      <c r="P235" s="134"/>
    </row>
    <row r="236" spans="1:20" ht="15.5">
      <c r="A236" s="527"/>
      <c r="B236" s="528"/>
      <c r="D236" s="517"/>
      <c r="E236" s="518"/>
      <c r="F236" s="518"/>
      <c r="G236" s="518"/>
      <c r="H236" s="518"/>
      <c r="I236" s="518"/>
      <c r="J236" s="518"/>
      <c r="K236" s="519"/>
      <c r="L236" s="136"/>
      <c r="M236" s="134"/>
      <c r="N236" s="134"/>
      <c r="O236" s="134"/>
      <c r="P236" s="134"/>
    </row>
    <row r="237" spans="1:20" ht="20.25" hidden="1" customHeight="1">
      <c r="A237" s="521" t="s">
        <v>42</v>
      </c>
      <c r="B237" s="522"/>
      <c r="D237" s="525" t="s">
        <v>93</v>
      </c>
      <c r="E237" s="515"/>
      <c r="F237" s="515"/>
      <c r="G237" s="515"/>
      <c r="H237" s="515"/>
      <c r="I237" s="515"/>
      <c r="J237" s="515"/>
      <c r="K237" s="516"/>
      <c r="L237" s="137"/>
      <c r="M237" s="134"/>
      <c r="N237" s="134"/>
      <c r="O237" s="134"/>
      <c r="P237" s="134"/>
    </row>
    <row r="238" spans="1:20" ht="15.5" hidden="1">
      <c r="A238" s="523"/>
      <c r="B238" s="524"/>
      <c r="D238" s="517"/>
      <c r="E238" s="518"/>
      <c r="F238" s="518"/>
      <c r="G238" s="518"/>
      <c r="H238" s="518"/>
      <c r="I238" s="518"/>
      <c r="J238" s="518"/>
      <c r="K238" s="519"/>
      <c r="L238" s="138"/>
      <c r="M238" s="134"/>
      <c r="N238" s="134"/>
      <c r="O238" s="134"/>
      <c r="P238" s="134"/>
    </row>
    <row r="239" spans="1:20" ht="15.75" hidden="1" customHeight="1">
      <c r="A239" s="2"/>
      <c r="B239" s="6"/>
      <c r="D239" s="3"/>
      <c r="E239" s="6"/>
      <c r="M239" s="134"/>
      <c r="N239" s="134"/>
      <c r="O239" s="134"/>
      <c r="P239" s="134"/>
    </row>
    <row r="240" spans="1:20" s="1" customFormat="1" ht="27" customHeight="1">
      <c r="A240" s="56" t="s">
        <v>29</v>
      </c>
      <c r="B240" s="18"/>
      <c r="C240" s="13"/>
      <c r="D240" s="56"/>
      <c r="E240" s="17" t="str">
        <f>IF(COUNTIF(F243:F246,"Partially")+COUNTIF(F243:F246,"NO")&gt;0,"Failed","Perfect")</f>
        <v>Perfect</v>
      </c>
      <c r="F240" s="56"/>
      <c r="G240" s="541" t="s">
        <v>871</v>
      </c>
      <c r="H240" s="541"/>
      <c r="I240" s="541"/>
      <c r="J240" s="541"/>
      <c r="K240" s="541"/>
      <c r="L240" s="10"/>
      <c r="M240" s="134"/>
      <c r="N240" s="134"/>
      <c r="O240" s="134"/>
      <c r="P240" s="134"/>
      <c r="Q240" s="160"/>
      <c r="R240" s="160"/>
      <c r="S240" s="160"/>
      <c r="T240" s="160"/>
    </row>
    <row r="241" spans="1:20" ht="57" customHeight="1">
      <c r="A241" s="128" t="s">
        <v>0</v>
      </c>
      <c r="B241" s="129" t="s">
        <v>760</v>
      </c>
      <c r="D241" s="133" t="s">
        <v>1</v>
      </c>
      <c r="E241" s="129" t="s">
        <v>665</v>
      </c>
      <c r="F241" s="133" t="s">
        <v>697</v>
      </c>
      <c r="G241" s="540" t="s">
        <v>43</v>
      </c>
      <c r="H241" s="530"/>
      <c r="I241" s="530"/>
      <c r="J241" s="530"/>
      <c r="K241" s="503"/>
      <c r="M241" s="134"/>
      <c r="N241" s="134"/>
      <c r="O241" s="134"/>
      <c r="P241" s="134"/>
      <c r="Q241" s="540" t="s">
        <v>879</v>
      </c>
      <c r="R241" s="549"/>
      <c r="S241" s="549"/>
      <c r="T241" s="550"/>
    </row>
    <row r="242" spans="1:20" ht="22.5" customHeight="1">
      <c r="A242" s="2"/>
      <c r="B242" s="5"/>
      <c r="D242" s="68"/>
      <c r="E242" s="5"/>
      <c r="F242" s="133"/>
      <c r="G242" s="133" t="s">
        <v>44</v>
      </c>
      <c r="H242" s="133" t="s">
        <v>45</v>
      </c>
      <c r="I242" s="133" t="s">
        <v>46</v>
      </c>
      <c r="J242" s="133" t="s">
        <v>47</v>
      </c>
      <c r="K242" s="133" t="s">
        <v>847</v>
      </c>
      <c r="M242" s="134"/>
      <c r="N242" s="134"/>
      <c r="O242" s="134"/>
      <c r="P242" s="134"/>
      <c r="Q242" s="540" t="s">
        <v>17</v>
      </c>
      <c r="R242" s="550"/>
      <c r="S242" s="540" t="s">
        <v>880</v>
      </c>
      <c r="T242" s="550"/>
    </row>
    <row r="243" spans="1:20" ht="42" customHeight="1">
      <c r="A243" s="13">
        <v>13.1</v>
      </c>
      <c r="C243" s="13" t="s">
        <v>973</v>
      </c>
      <c r="D243" t="s">
        <v>663</v>
      </c>
      <c r="E243" s="11" t="s">
        <v>728</v>
      </c>
      <c r="F243" s="242" t="str">
        <f>IF(Q243="","YES","PARTIALLY")</f>
        <v>YES</v>
      </c>
      <c r="G243" s="143" t="s">
        <v>39</v>
      </c>
      <c r="H243" s="143" t="s">
        <v>39</v>
      </c>
      <c r="I243" s="143" t="s">
        <v>39</v>
      </c>
      <c r="J243" s="143" t="s">
        <v>39</v>
      </c>
      <c r="K243" s="143" t="s">
        <v>41</v>
      </c>
      <c r="L243" s="134"/>
      <c r="M243" s="134"/>
      <c r="N243" s="134"/>
      <c r="O243" s="134"/>
      <c r="P243" s="134"/>
      <c r="Q243" s="551" t="s">
        <v>893</v>
      </c>
      <c r="R243" s="552"/>
      <c r="S243" s="551" t="s">
        <v>893</v>
      </c>
      <c r="T243" s="552"/>
    </row>
    <row r="244" spans="1:20" ht="36" customHeight="1">
      <c r="A244" s="13">
        <v>13.2</v>
      </c>
      <c r="C244" s="13" t="s">
        <v>974</v>
      </c>
      <c r="D244" t="s">
        <v>266</v>
      </c>
      <c r="E244" s="11" t="s">
        <v>728</v>
      </c>
      <c r="F244" s="242" t="str">
        <f t="shared" ref="F244:F246" si="11">IF(Q244="","YES","PARTIALLY")</f>
        <v>YES</v>
      </c>
      <c r="G244" s="143" t="s">
        <v>39</v>
      </c>
      <c r="H244" s="143" t="s">
        <v>39</v>
      </c>
      <c r="I244" s="143" t="s">
        <v>39</v>
      </c>
      <c r="J244" s="143" t="s">
        <v>39</v>
      </c>
      <c r="K244" s="143" t="s">
        <v>39</v>
      </c>
      <c r="L244" s="134"/>
      <c r="M244" s="134"/>
      <c r="N244" s="134"/>
      <c r="O244" s="134"/>
      <c r="P244" s="134"/>
      <c r="Q244" s="551" t="str">
        <f>IF(uniform!B171=FALSE,Reference!B559&amp;"&lt;br&gt;"&amp;Reference!B560,"")&amp;IF(uniform!C171=FALSE,Reference!B565,"")</f>
        <v/>
      </c>
      <c r="R244" s="552"/>
      <c r="S244" s="551" t="str">
        <f>IF(uniform!B171=FALSE, Reference!B561&amp;"&lt;br&gt;"&amp;Reference!B562,"")&amp;IF(uniform!C171=FALSE,Reference!B566,"")</f>
        <v/>
      </c>
      <c r="T244" s="552"/>
    </row>
    <row r="245" spans="1:20" ht="56.25" customHeight="1">
      <c r="A245" s="13">
        <v>13.3</v>
      </c>
      <c r="C245" s="13" t="s">
        <v>975</v>
      </c>
      <c r="D245" t="s">
        <v>267</v>
      </c>
      <c r="E245" s="8" t="s">
        <v>704</v>
      </c>
      <c r="F245" s="242" t="str">
        <f t="shared" si="11"/>
        <v>YES</v>
      </c>
      <c r="G245" s="143" t="s">
        <v>39</v>
      </c>
      <c r="H245" s="143" t="s">
        <v>39</v>
      </c>
      <c r="I245" s="143" t="s">
        <v>39</v>
      </c>
      <c r="J245" s="143" t="s">
        <v>39</v>
      </c>
      <c r="K245" s="143" t="s">
        <v>39</v>
      </c>
      <c r="L245" s="134"/>
      <c r="M245" s="134"/>
      <c r="N245" s="134"/>
      <c r="O245" s="134"/>
      <c r="P245" s="134"/>
      <c r="Q245" s="551" t="s">
        <v>893</v>
      </c>
      <c r="R245" s="552"/>
      <c r="S245" s="551" t="s">
        <v>893</v>
      </c>
      <c r="T245" s="552"/>
    </row>
    <row r="246" spans="1:20" ht="15.5">
      <c r="A246" s="13">
        <v>13.4</v>
      </c>
      <c r="C246" s="13" t="s">
        <v>976</v>
      </c>
      <c r="D246" t="s">
        <v>664</v>
      </c>
      <c r="E246" s="11" t="s">
        <v>728</v>
      </c>
      <c r="F246" s="242" t="str">
        <f t="shared" si="11"/>
        <v>YES</v>
      </c>
      <c r="G246" s="143" t="s">
        <v>39</v>
      </c>
      <c r="H246" s="143" t="s">
        <v>39</v>
      </c>
      <c r="I246" s="143" t="s">
        <v>39</v>
      </c>
      <c r="J246" s="143" t="s">
        <v>39</v>
      </c>
      <c r="K246" s="143" t="s">
        <v>41</v>
      </c>
      <c r="L246" s="134"/>
      <c r="M246" s="134"/>
      <c r="N246" s="134"/>
      <c r="O246" s="134"/>
      <c r="P246" s="134"/>
      <c r="Q246" s="551" t="str">
        <f>IF(uniform!B173=FALSE,Reference!B573,"")</f>
        <v/>
      </c>
      <c r="R246" s="552"/>
      <c r="S246" s="551" t="str">
        <f>IF(uniform!B173=FALSE,Reference!B574,"")</f>
        <v/>
      </c>
      <c r="T246" s="552"/>
    </row>
    <row r="247" spans="1:20" ht="9.75" hidden="1" customHeight="1">
      <c r="A247"/>
      <c r="B247"/>
      <c r="C247"/>
      <c r="D247"/>
      <c r="E247" s="13"/>
      <c r="L247" s="139"/>
      <c r="M247" s="134"/>
      <c r="N247" s="134"/>
      <c r="O247" s="134"/>
      <c r="P247" s="134"/>
    </row>
    <row r="248" spans="1:20" ht="22.5" customHeight="1">
      <c r="A248" s="15"/>
      <c r="D248" s="67"/>
      <c r="I248" s="520" t="s">
        <v>762</v>
      </c>
      <c r="J248" s="503"/>
      <c r="K248" s="150"/>
      <c r="L248" s="139"/>
      <c r="M248" s="134"/>
      <c r="N248" s="134"/>
      <c r="O248" s="134"/>
      <c r="P248" s="134"/>
    </row>
    <row r="249" spans="1:20" ht="9" hidden="1" customHeight="1">
      <c r="A249" s="15"/>
      <c r="D249" s="67"/>
      <c r="M249" s="134"/>
      <c r="N249" s="134"/>
      <c r="O249" s="134"/>
      <c r="P249" s="134"/>
    </row>
    <row r="250" spans="1:20" ht="50.15" customHeight="1">
      <c r="A250" s="521" t="s">
        <v>878</v>
      </c>
      <c r="B250" s="526"/>
      <c r="D250" s="534" t="str">
        <f>uniform!B174&amp;IF(COUNTIF(F243:F246,"Partially")+COUNTIF(F243:F246,"NO")&gt;0,B18,D18)</f>
        <v>The factory has set up appropriate measures to ensure and demonstrate no corruption, extortion, embezzlement, bribery, falsified information or misrepresentation in the supply chain. The factory identified the situations and activities where acts of corruption, extortion or bribery were most likely to occur in its context and policies/procedures against any act of corruption and takes active measures to prevent and remediate them. Based on satisfactory evidence, the factory respects this principle.</v>
      </c>
      <c r="E250" s="535"/>
      <c r="F250" s="535"/>
      <c r="G250" s="535"/>
      <c r="H250" s="535"/>
      <c r="I250" s="535"/>
      <c r="J250" s="535"/>
      <c r="K250" s="536"/>
      <c r="L250" s="135"/>
      <c r="M250" s="134"/>
      <c r="N250" s="134"/>
      <c r="O250" s="134"/>
      <c r="P250" s="134"/>
    </row>
    <row r="251" spans="1:20" ht="15.5">
      <c r="A251" s="527"/>
      <c r="B251" s="528"/>
      <c r="D251" s="537"/>
      <c r="E251" s="538"/>
      <c r="F251" s="538"/>
      <c r="G251" s="538"/>
      <c r="H251" s="538"/>
      <c r="I251" s="538"/>
      <c r="J251" s="538"/>
      <c r="K251" s="539"/>
      <c r="L251" s="136"/>
      <c r="M251" s="134"/>
      <c r="N251" s="134"/>
      <c r="O251" s="134"/>
      <c r="P251" s="134"/>
    </row>
    <row r="252" spans="1:20" ht="50.15" customHeight="1">
      <c r="A252" s="521" t="s">
        <v>877</v>
      </c>
      <c r="B252" s="526"/>
      <c r="D252" s="514" t="str">
        <f>uniform!B175&amp;IF(COUNTIF(F243:F246,"Partially")+COUNTIF(F243:F246,"NO")&gt;0,E18,F18)</f>
        <v>工厂建立了合适的管理措施来确保及明确在供应链中不能存在行贿索贿，挪用盗用公款，贪腐，提供虚假资料，虚报等行为。在管理制度中明确了在哪些方面可能存在贪腐，挪用公款或者贿赂等行为以及相应的预防管理措施。基于令人满意的证据，工厂尊重本条原则。</v>
      </c>
      <c r="E252" s="515"/>
      <c r="F252" s="515"/>
      <c r="G252" s="515"/>
      <c r="H252" s="515"/>
      <c r="I252" s="515"/>
      <c r="J252" s="515"/>
      <c r="K252" s="516"/>
      <c r="L252" s="135"/>
      <c r="M252" s="134"/>
      <c r="N252" s="134"/>
      <c r="O252" s="134"/>
      <c r="P252" s="134"/>
    </row>
    <row r="253" spans="1:20" ht="15.5">
      <c r="A253" s="527"/>
      <c r="B253" s="528"/>
      <c r="D253" s="517"/>
      <c r="E253" s="518"/>
      <c r="F253" s="518"/>
      <c r="G253" s="518"/>
      <c r="H253" s="518"/>
      <c r="I253" s="518"/>
      <c r="J253" s="518"/>
      <c r="K253" s="519"/>
      <c r="L253" s="136"/>
      <c r="M253" s="134"/>
      <c r="N253" s="134"/>
      <c r="O253" s="134"/>
      <c r="P253" s="134"/>
    </row>
    <row r="254" spans="1:20" ht="20.25" hidden="1" customHeight="1">
      <c r="A254" s="521" t="s">
        <v>42</v>
      </c>
      <c r="B254" s="522"/>
      <c r="D254" s="525" t="s">
        <v>93</v>
      </c>
      <c r="E254" s="515"/>
      <c r="F254" s="515"/>
      <c r="G254" s="515"/>
      <c r="H254" s="515"/>
      <c r="I254" s="515"/>
      <c r="J254" s="515"/>
      <c r="K254" s="516"/>
      <c r="L254" s="137"/>
      <c r="M254" s="134"/>
      <c r="N254" s="134"/>
      <c r="O254" s="134"/>
      <c r="P254" s="134"/>
    </row>
    <row r="255" spans="1:20" ht="15.5" hidden="1">
      <c r="A255" s="523"/>
      <c r="B255" s="524"/>
      <c r="D255" s="517"/>
      <c r="E255" s="518"/>
      <c r="F255" s="518"/>
      <c r="G255" s="518"/>
      <c r="H255" s="518"/>
      <c r="I255" s="518"/>
      <c r="J255" s="518"/>
      <c r="K255" s="519"/>
      <c r="L255" s="138"/>
      <c r="M255" s="134"/>
      <c r="N255" s="134"/>
      <c r="O255" s="134"/>
      <c r="P255" s="134"/>
    </row>
    <row r="257" spans="6:11" ht="17.25" customHeight="1">
      <c r="F257" s="7"/>
      <c r="G257" s="7"/>
      <c r="H257" s="7"/>
      <c r="J257" s="72" t="s">
        <v>763</v>
      </c>
      <c r="K257" s="149">
        <f>COUNTIF($F$10:$F$248,"A")</f>
        <v>0</v>
      </c>
    </row>
    <row r="258" spans="6:11" ht="17.25" customHeight="1">
      <c r="F258" s="7"/>
      <c r="G258" s="7"/>
      <c r="H258" s="7"/>
      <c r="J258" s="72" t="s">
        <v>764</v>
      </c>
      <c r="K258" s="149">
        <f>COUNTIF($F$10:$F$248,"B")</f>
        <v>0</v>
      </c>
    </row>
    <row r="259" spans="6:11" ht="17.25" customHeight="1">
      <c r="F259" s="7"/>
      <c r="G259" s="7"/>
      <c r="H259" s="7"/>
      <c r="J259" s="72" t="s">
        <v>765</v>
      </c>
      <c r="K259" s="149">
        <f>COUNTIF($K$10:$K$248,"C")</f>
        <v>0</v>
      </c>
    </row>
    <row r="260" spans="6:11" ht="17.25" customHeight="1">
      <c r="F260" s="7"/>
      <c r="G260" s="7"/>
      <c r="H260" s="7"/>
      <c r="J260" s="72" t="s">
        <v>766</v>
      </c>
      <c r="K260" s="149">
        <f>COUNTIF($K$10:$K$248,"D")</f>
        <v>0</v>
      </c>
    </row>
    <row r="261" spans="6:11" ht="17.25" customHeight="1">
      <c r="J261" s="72" t="s">
        <v>767</v>
      </c>
      <c r="K261" s="148">
        <f>COUNTIF($K$10:$K$248,"E")</f>
        <v>0</v>
      </c>
    </row>
    <row r="262" spans="6:11" ht="27" customHeight="1"/>
    <row r="263" spans="6:11" ht="35.25" customHeight="1">
      <c r="F263" s="529" t="s">
        <v>768</v>
      </c>
      <c r="G263" s="530"/>
      <c r="H263" s="503"/>
      <c r="I263" s="531" t="str">
        <f>IF('General information'!E34="YES","Zero Tolerance",IF('General information'!E35="Aborted","Aborted",  IF(AND(K257&gt;6,K259=0,K260=0,K261=0),"A",IF(AND(K259&lt;4,K260=0,K261=0),"B",IF(AND(K260&lt;3,K261=0),"C",IF(K261&lt;7,"D",IF(K261&gt;6,"E","E")))))))</f>
        <v>B</v>
      </c>
      <c r="J263" s="532"/>
      <c r="K263" s="533"/>
    </row>
  </sheetData>
  <sheetProtection formatCells="0" formatColumns="0" formatRows="0" insertColumns="0" insertRows="0" insertHyperlinks="0" deleteColumns="0" deleteRows="0" sort="0" autoFilter="0" pivotTables="0"/>
  <dataConsolidate link="1"/>
  <mergeCells count="323">
    <mergeCell ref="A1:D1"/>
    <mergeCell ref="G1:K1"/>
    <mergeCell ref="Q229:R229"/>
    <mergeCell ref="S229:T229"/>
    <mergeCell ref="Q241:T241"/>
    <mergeCell ref="Q242:R242"/>
    <mergeCell ref="S242:T242"/>
    <mergeCell ref="Q246:R246"/>
    <mergeCell ref="S246:T246"/>
    <mergeCell ref="Q243:R243"/>
    <mergeCell ref="S243:T243"/>
    <mergeCell ref="Q244:R244"/>
    <mergeCell ref="S244:T244"/>
    <mergeCell ref="Q245:R245"/>
    <mergeCell ref="S245:T245"/>
    <mergeCell ref="Q224:R224"/>
    <mergeCell ref="S224:T224"/>
    <mergeCell ref="Q225:R225"/>
    <mergeCell ref="S225:T225"/>
    <mergeCell ref="Q226:R226"/>
    <mergeCell ref="S226:T226"/>
    <mergeCell ref="Q227:R227"/>
    <mergeCell ref="S227:T227"/>
    <mergeCell ref="Q228:R228"/>
    <mergeCell ref="S228:T228"/>
    <mergeCell ref="Q208:R208"/>
    <mergeCell ref="S208:T208"/>
    <mergeCell ref="Q209:R209"/>
    <mergeCell ref="S209:T209"/>
    <mergeCell ref="Q210:R210"/>
    <mergeCell ref="S210:T210"/>
    <mergeCell ref="Q211:R211"/>
    <mergeCell ref="S211:T211"/>
    <mergeCell ref="Q223:T223"/>
    <mergeCell ref="Q192:R192"/>
    <mergeCell ref="S192:T192"/>
    <mergeCell ref="Q193:R193"/>
    <mergeCell ref="S193:T193"/>
    <mergeCell ref="Q194:R194"/>
    <mergeCell ref="S194:T194"/>
    <mergeCell ref="Q206:T206"/>
    <mergeCell ref="Q207:R207"/>
    <mergeCell ref="S207:T207"/>
    <mergeCell ref="Q176:R176"/>
    <mergeCell ref="S176:T176"/>
    <mergeCell ref="Q177:R177"/>
    <mergeCell ref="S177:T177"/>
    <mergeCell ref="Q189:T189"/>
    <mergeCell ref="Q190:R190"/>
    <mergeCell ref="S190:T190"/>
    <mergeCell ref="Q191:R191"/>
    <mergeCell ref="S191:T191"/>
    <mergeCell ref="Q171:R171"/>
    <mergeCell ref="S171:T171"/>
    <mergeCell ref="Q172:R172"/>
    <mergeCell ref="S172:T172"/>
    <mergeCell ref="Q173:R173"/>
    <mergeCell ref="S173:T173"/>
    <mergeCell ref="Q174:R174"/>
    <mergeCell ref="S174:T174"/>
    <mergeCell ref="Q175:R175"/>
    <mergeCell ref="S175:T175"/>
    <mergeCell ref="Q155:R155"/>
    <mergeCell ref="S155:T155"/>
    <mergeCell ref="Q156:R156"/>
    <mergeCell ref="S156:T156"/>
    <mergeCell ref="Q157:R157"/>
    <mergeCell ref="S157:T157"/>
    <mergeCell ref="Q158:R158"/>
    <mergeCell ref="S158:T158"/>
    <mergeCell ref="Q170:T170"/>
    <mergeCell ref="Q139:R139"/>
    <mergeCell ref="S139:T139"/>
    <mergeCell ref="Q140:R140"/>
    <mergeCell ref="S140:T140"/>
    <mergeCell ref="Q141:R141"/>
    <mergeCell ref="S141:T141"/>
    <mergeCell ref="Q153:T153"/>
    <mergeCell ref="Q154:R154"/>
    <mergeCell ref="S154:T154"/>
    <mergeCell ref="Q134:R134"/>
    <mergeCell ref="S134:T134"/>
    <mergeCell ref="Q135:R135"/>
    <mergeCell ref="S135:T135"/>
    <mergeCell ref="Q136:R136"/>
    <mergeCell ref="S136:T136"/>
    <mergeCell ref="Q137:R137"/>
    <mergeCell ref="S137:T137"/>
    <mergeCell ref="Q138:R138"/>
    <mergeCell ref="S138:T138"/>
    <mergeCell ref="Q129:R129"/>
    <mergeCell ref="S129:T129"/>
    <mergeCell ref="Q130:R130"/>
    <mergeCell ref="S130:T130"/>
    <mergeCell ref="Q131:R131"/>
    <mergeCell ref="S131:T131"/>
    <mergeCell ref="Q132:R132"/>
    <mergeCell ref="S132:T132"/>
    <mergeCell ref="Q133:R133"/>
    <mergeCell ref="S133:T133"/>
    <mergeCell ref="Q124:R124"/>
    <mergeCell ref="S124:T124"/>
    <mergeCell ref="Q125:R125"/>
    <mergeCell ref="S125:T125"/>
    <mergeCell ref="Q126:R126"/>
    <mergeCell ref="S126:T126"/>
    <mergeCell ref="Q127:R127"/>
    <mergeCell ref="S127:T127"/>
    <mergeCell ref="Q128:R128"/>
    <mergeCell ref="S128:T128"/>
    <mergeCell ref="Q119:R119"/>
    <mergeCell ref="S119:T119"/>
    <mergeCell ref="Q120:R120"/>
    <mergeCell ref="S120:T120"/>
    <mergeCell ref="Q121:R121"/>
    <mergeCell ref="S121:T121"/>
    <mergeCell ref="Q122:R122"/>
    <mergeCell ref="S122:T122"/>
    <mergeCell ref="Q123:R123"/>
    <mergeCell ref="S123:T123"/>
    <mergeCell ref="Q103:R103"/>
    <mergeCell ref="S103:T103"/>
    <mergeCell ref="Q115:T115"/>
    <mergeCell ref="Q116:R116"/>
    <mergeCell ref="S116:T116"/>
    <mergeCell ref="Q117:R117"/>
    <mergeCell ref="S117:T117"/>
    <mergeCell ref="Q118:R118"/>
    <mergeCell ref="S118:T118"/>
    <mergeCell ref="Q98:T98"/>
    <mergeCell ref="Q99:R99"/>
    <mergeCell ref="S99:T99"/>
    <mergeCell ref="Q100:R100"/>
    <mergeCell ref="S100:T100"/>
    <mergeCell ref="Q101:R101"/>
    <mergeCell ref="S101:T101"/>
    <mergeCell ref="Q102:R102"/>
    <mergeCell ref="S102:T102"/>
    <mergeCell ref="Q82:R82"/>
    <mergeCell ref="S82:T82"/>
    <mergeCell ref="Q83:R83"/>
    <mergeCell ref="S83:T83"/>
    <mergeCell ref="Q84:R84"/>
    <mergeCell ref="S84:T84"/>
    <mergeCell ref="Q85:R85"/>
    <mergeCell ref="S85:T85"/>
    <mergeCell ref="Q86:R86"/>
    <mergeCell ref="S86:T86"/>
    <mergeCell ref="Q66:R66"/>
    <mergeCell ref="S66:T66"/>
    <mergeCell ref="Q67:R67"/>
    <mergeCell ref="S67:T67"/>
    <mergeCell ref="Q79:T79"/>
    <mergeCell ref="Q80:R80"/>
    <mergeCell ref="S80:T80"/>
    <mergeCell ref="Q81:R81"/>
    <mergeCell ref="S81:T81"/>
    <mergeCell ref="Q50:R50"/>
    <mergeCell ref="S50:T50"/>
    <mergeCell ref="Q51:R51"/>
    <mergeCell ref="S51:T51"/>
    <mergeCell ref="Q63:T63"/>
    <mergeCell ref="Q64:R64"/>
    <mergeCell ref="S64:T64"/>
    <mergeCell ref="Q65:R65"/>
    <mergeCell ref="S65:T65"/>
    <mergeCell ref="Q34:R34"/>
    <mergeCell ref="S34:T34"/>
    <mergeCell ref="Q46:T46"/>
    <mergeCell ref="Q47:R47"/>
    <mergeCell ref="S47:T47"/>
    <mergeCell ref="Q48:R48"/>
    <mergeCell ref="S48:T48"/>
    <mergeCell ref="Q49:R49"/>
    <mergeCell ref="S49:T49"/>
    <mergeCell ref="Q29:R29"/>
    <mergeCell ref="S29:T29"/>
    <mergeCell ref="Q30:R30"/>
    <mergeCell ref="S30:T30"/>
    <mergeCell ref="Q31:R31"/>
    <mergeCell ref="S31:T31"/>
    <mergeCell ref="Q32:R32"/>
    <mergeCell ref="S32:T32"/>
    <mergeCell ref="Q33:R33"/>
    <mergeCell ref="S33:T33"/>
    <mergeCell ref="Q13:R13"/>
    <mergeCell ref="S13:T13"/>
    <mergeCell ref="Q14:R14"/>
    <mergeCell ref="S14:T14"/>
    <mergeCell ref="Q15:R15"/>
    <mergeCell ref="S15:T15"/>
    <mergeCell ref="Q16:R16"/>
    <mergeCell ref="S16:T16"/>
    <mergeCell ref="Q28:T28"/>
    <mergeCell ref="Q8:T8"/>
    <mergeCell ref="Q9:R9"/>
    <mergeCell ref="S9:T9"/>
    <mergeCell ref="Q10:R10"/>
    <mergeCell ref="S10:T10"/>
    <mergeCell ref="Q11:R11"/>
    <mergeCell ref="S11:T11"/>
    <mergeCell ref="Q12:R12"/>
    <mergeCell ref="S12:T12"/>
    <mergeCell ref="A198:B199"/>
    <mergeCell ref="D198:K199"/>
    <mergeCell ref="A183:B184"/>
    <mergeCell ref="D183:K184"/>
    <mergeCell ref="A185:B186"/>
    <mergeCell ref="D185:K186"/>
    <mergeCell ref="A111:B112"/>
    <mergeCell ref="D111:K112"/>
    <mergeCell ref="A147:B148"/>
    <mergeCell ref="D147:K148"/>
    <mergeCell ref="I143:J143"/>
    <mergeCell ref="G115:K115"/>
    <mergeCell ref="A145:B146"/>
    <mergeCell ref="D145:K146"/>
    <mergeCell ref="A57:B58"/>
    <mergeCell ref="A107:B108"/>
    <mergeCell ref="D107:K108"/>
    <mergeCell ref="A73:B74"/>
    <mergeCell ref="D73:K74"/>
    <mergeCell ref="A75:B76"/>
    <mergeCell ref="D75:K76"/>
    <mergeCell ref="A181:B182"/>
    <mergeCell ref="D181:K182"/>
    <mergeCell ref="A109:B110"/>
    <mergeCell ref="D109:K110"/>
    <mergeCell ref="D57:K58"/>
    <mergeCell ref="A94:B95"/>
    <mergeCell ref="D94:K95"/>
    <mergeCell ref="A71:B72"/>
    <mergeCell ref="G170:K170"/>
    <mergeCell ref="G98:K98"/>
    <mergeCell ref="G97:K97"/>
    <mergeCell ref="G114:K114"/>
    <mergeCell ref="G152:K152"/>
    <mergeCell ref="G169:K169"/>
    <mergeCell ref="I105:J105"/>
    <mergeCell ref="I88:J88"/>
    <mergeCell ref="I69:J69"/>
    <mergeCell ref="L2:L4"/>
    <mergeCell ref="D40:K41"/>
    <mergeCell ref="I36:J36"/>
    <mergeCell ref="I18:J18"/>
    <mergeCell ref="D24:K25"/>
    <mergeCell ref="G28:K28"/>
    <mergeCell ref="G7:K7"/>
    <mergeCell ref="G27:K27"/>
    <mergeCell ref="G8:K8"/>
    <mergeCell ref="D20:K21"/>
    <mergeCell ref="D38:K39"/>
    <mergeCell ref="A20:B21"/>
    <mergeCell ref="A59:B60"/>
    <mergeCell ref="D59:K60"/>
    <mergeCell ref="I53:J53"/>
    <mergeCell ref="A40:B41"/>
    <mergeCell ref="D71:K72"/>
    <mergeCell ref="A90:B91"/>
    <mergeCell ref="D90:K91"/>
    <mergeCell ref="A92:B93"/>
    <mergeCell ref="D92:K93"/>
    <mergeCell ref="A22:B23"/>
    <mergeCell ref="D22:K23"/>
    <mergeCell ref="A24:B25"/>
    <mergeCell ref="A38:B39"/>
    <mergeCell ref="A55:B56"/>
    <mergeCell ref="D55:K56"/>
    <mergeCell ref="A42:B43"/>
    <mergeCell ref="D42:K43"/>
    <mergeCell ref="G45:K45"/>
    <mergeCell ref="G46:K46"/>
    <mergeCell ref="G79:K79"/>
    <mergeCell ref="G62:K62"/>
    <mergeCell ref="G78:K78"/>
    <mergeCell ref="G63:K63"/>
    <mergeCell ref="A200:B201"/>
    <mergeCell ref="D200:K201"/>
    <mergeCell ref="G189:K189"/>
    <mergeCell ref="A202:B203"/>
    <mergeCell ref="D202:K203"/>
    <mergeCell ref="A217:B218"/>
    <mergeCell ref="D217:K218"/>
    <mergeCell ref="I196:J196"/>
    <mergeCell ref="A149:B150"/>
    <mergeCell ref="D149:K150"/>
    <mergeCell ref="A164:B165"/>
    <mergeCell ref="D164:K165"/>
    <mergeCell ref="A166:B167"/>
    <mergeCell ref="D166:K167"/>
    <mergeCell ref="I160:J160"/>
    <mergeCell ref="G153:K153"/>
    <mergeCell ref="A162:B163"/>
    <mergeCell ref="D162:K163"/>
    <mergeCell ref="A215:B216"/>
    <mergeCell ref="D215:K216"/>
    <mergeCell ref="I179:J179"/>
    <mergeCell ref="G188:K188"/>
    <mergeCell ref="G205:K205"/>
    <mergeCell ref="G206:K206"/>
    <mergeCell ref="D252:K253"/>
    <mergeCell ref="I248:J248"/>
    <mergeCell ref="I231:J231"/>
    <mergeCell ref="I213:J213"/>
    <mergeCell ref="A219:B220"/>
    <mergeCell ref="D219:K220"/>
    <mergeCell ref="A233:B234"/>
    <mergeCell ref="D233:K234"/>
    <mergeCell ref="F263:H263"/>
    <mergeCell ref="I263:K263"/>
    <mergeCell ref="A254:B255"/>
    <mergeCell ref="D254:K255"/>
    <mergeCell ref="A235:B236"/>
    <mergeCell ref="D235:K236"/>
    <mergeCell ref="A237:B238"/>
    <mergeCell ref="A250:B251"/>
    <mergeCell ref="D250:K251"/>
    <mergeCell ref="A252:B253"/>
    <mergeCell ref="G223:K223"/>
    <mergeCell ref="G241:K241"/>
    <mergeCell ref="G222:K222"/>
    <mergeCell ref="G240:K240"/>
    <mergeCell ref="D237:K238"/>
  </mergeCells>
  <phoneticPr fontId="17" type="noConversion"/>
  <conditionalFormatting sqref="E27">
    <cfRule type="cellIs" dxfId="48" priority="25" operator="equal">
      <formula>"Perfect"</formula>
    </cfRule>
    <cfRule type="cellIs" dxfId="47" priority="26" operator="equal">
      <formula>"Failed"</formula>
    </cfRule>
  </conditionalFormatting>
  <conditionalFormatting sqref="E7">
    <cfRule type="cellIs" dxfId="46" priority="23" operator="equal">
      <formula>"Perfect"</formula>
    </cfRule>
    <cfRule type="cellIs" dxfId="45" priority="24" operator="equal">
      <formula>"Failed"</formula>
    </cfRule>
  </conditionalFormatting>
  <conditionalFormatting sqref="E45">
    <cfRule type="cellIs" dxfId="44" priority="21" operator="equal">
      <formula>"Perfect"</formula>
    </cfRule>
    <cfRule type="cellIs" dxfId="43" priority="22" operator="equal">
      <formula>"Failed"</formula>
    </cfRule>
  </conditionalFormatting>
  <conditionalFormatting sqref="E62">
    <cfRule type="cellIs" dxfId="42" priority="19" operator="equal">
      <formula>"Perfect"</formula>
    </cfRule>
    <cfRule type="cellIs" dxfId="41" priority="20" operator="equal">
      <formula>"Failed"</formula>
    </cfRule>
  </conditionalFormatting>
  <conditionalFormatting sqref="E78">
    <cfRule type="cellIs" dxfId="40" priority="17" operator="equal">
      <formula>"Perfect"</formula>
    </cfRule>
    <cfRule type="cellIs" dxfId="39" priority="18" operator="equal">
      <formula>"Failed"</formula>
    </cfRule>
  </conditionalFormatting>
  <conditionalFormatting sqref="E97">
    <cfRule type="cellIs" dxfId="38" priority="15" operator="equal">
      <formula>"Perfect"</formula>
    </cfRule>
    <cfRule type="cellIs" dxfId="37" priority="16" operator="equal">
      <formula>"Failed"</formula>
    </cfRule>
  </conditionalFormatting>
  <conditionalFormatting sqref="E114">
    <cfRule type="cellIs" dxfId="36" priority="13" operator="equal">
      <formula>"Perfect"</formula>
    </cfRule>
    <cfRule type="cellIs" dxfId="35" priority="14" operator="equal">
      <formula>"Failed"</formula>
    </cfRule>
  </conditionalFormatting>
  <conditionalFormatting sqref="E152">
    <cfRule type="cellIs" dxfId="34" priority="11" operator="equal">
      <formula>"Perfect"</formula>
    </cfRule>
    <cfRule type="cellIs" dxfId="33" priority="12" operator="equal">
      <formula>"Failed"</formula>
    </cfRule>
  </conditionalFormatting>
  <conditionalFormatting sqref="E169">
    <cfRule type="cellIs" dxfId="32" priority="9" operator="equal">
      <formula>"Perfect"</formula>
    </cfRule>
    <cfRule type="cellIs" dxfId="31" priority="10" operator="equal">
      <formula>"Failed"</formula>
    </cfRule>
  </conditionalFormatting>
  <conditionalFormatting sqref="E188">
    <cfRule type="cellIs" dxfId="30" priority="7" operator="equal">
      <formula>"Perfect"</formula>
    </cfRule>
    <cfRule type="cellIs" dxfId="29" priority="8" operator="equal">
      <formula>"Failed"</formula>
    </cfRule>
  </conditionalFormatting>
  <conditionalFormatting sqref="E205">
    <cfRule type="cellIs" dxfId="28" priority="5" operator="equal">
      <formula>"Perfect"</formula>
    </cfRule>
    <cfRule type="cellIs" dxfId="27" priority="6" operator="equal">
      <formula>"Failed"</formula>
    </cfRule>
  </conditionalFormatting>
  <conditionalFormatting sqref="E222">
    <cfRule type="cellIs" dxfId="26" priority="3" operator="equal">
      <formula>"Perfect"</formula>
    </cfRule>
    <cfRule type="cellIs" dxfId="25" priority="4" operator="equal">
      <formula>"Failed"</formula>
    </cfRule>
  </conditionalFormatting>
  <conditionalFormatting sqref="E240">
    <cfRule type="cellIs" dxfId="24" priority="1" operator="equal">
      <formula>"Perfect"</formula>
    </cfRule>
    <cfRule type="cellIs" dxfId="23" priority="2" operator="equal">
      <formula>"Failed"</formula>
    </cfRule>
  </conditionalFormatting>
  <dataValidations xWindow="827" yWindow="512" count="4">
    <dataValidation type="list" allowBlank="1" showInputMessage="1" showErrorMessage="1" prompt="Please select" sqref="G10:K13 G225:K229 G30:K34 G96:K96 G113:K113 G151:K151 G168:K168 G187:K187 G204:K204 G221:K221 G191:K194 G65:K67 G81:K86 G208:K211 G117:K141 G155:K158 G172:K177 G100:K103 G77:K77 G48:K51 G243:K246 R37:U37" xr:uid="{00000000-0002-0000-1300-000000000000}">
      <formula1>Yes_No</formula1>
    </dataValidation>
    <dataValidation type="list" allowBlank="1" showInputMessage="1" showErrorMessage="1" sqref="F117:F141 F65:F67 F100:F103 F81:F86 F208:F211 F191:F194 F30:F34 F48:F51 F155:F158 F225:F229 F172:F177 F243:F246 F10:F13" xr:uid="{00000000-0002-0000-1300-000001000000}">
      <formula1>Rating</formula1>
    </dataValidation>
    <dataValidation allowBlank="1" showInputMessage="1" showErrorMessage="1" prompt="MI - Management Interview(s)_x000a_WI - Workers Interview(s)    _x000a_WRI - Workers representative_x000a_           Interview(s) _x000a_DE - Documentary evidence    _x000a_SO - Site observance    " sqref="G7:K7 G27:K27 G45:K45 G62:K62 G78:K78 G97:K97 G114:K114 G152:K152 G169:K169 G188:K188 G205:K205 G222:K222 G240:K240" xr:uid="{00000000-0002-0000-1300-000002000000}"/>
    <dataValidation type="textLength" errorStyle="warning" allowBlank="1" showInputMessage="1" showErrorMessage="1" errorTitle="Exceed the character limitation" error="You have reached the character limit for this field. If you enter more text, the import of this offline will not work. You can add the rest of your text to the online audit after you import the offline." promptTitle="Character limitation" prompt="no more than 4000 characters are allowed in this cell" sqref="D107:K112 D20:K25 D55:K60 D71:K76 D38:K43 D90:K95 D145:K150 D162:K167 D181:K186 D198:K203 D215:K220 D233:K238 D250:K255" xr:uid="{00000000-0002-0000-1300-000003000000}">
      <formula1>0</formula1>
      <formula2>4000</formula2>
    </dataValidation>
  </dataValidations>
  <hyperlinks>
    <hyperlink ref="D100" location="QSIXONE" tooltip="Click on the question to access the guidelines" display="Is there satisfactory evidence that the auditee does not require more than 48 regular working hours per week, without prejudice to the exceptions recognised by the ILO?" xr:uid="{00000000-0004-0000-1300-000015000000}"/>
    <hyperlink ref="D101" location="QSIXTWO" tooltip="Click on the question to access the guidelines" display="Is there satisfactory evidence that the auditee request of overtime is in line with the requirements of the BSCI Code of Conduct?" xr:uid="{00000000-0004-0000-1300-000016000000}"/>
    <hyperlink ref="D102" location="QSIXTHREE" tooltip="Click on the question to access the guidelines" display="Is there satisfactory evidence that the auditee grants workers the right to resting breaks in every working day?" xr:uid="{00000000-0004-0000-1300-000017000000}"/>
    <hyperlink ref="D103" location="QSIXFOUR" tooltip="Click on the question to access the guidelines" display="Is there satisfactory evidence that the auditee grants workers the right to at least one day off in every seven days?" xr:uid="{00000000-0004-0000-1300-000018000000}"/>
    <hyperlink ref="D208" location="QELEVENONE" tooltip="Click on the question to access the guidelines" display="Is there satisfactory evidence that the auditee does not engage in any form of servitude, forced, bonded, indentured, trafficked or non-voluntary labour?" xr:uid="{00000000-0004-0000-1300-00003C000000}"/>
    <hyperlink ref="D209" location="QELEVENTWO" tooltip="Click on the question to access the guidelines" display="Is there satisfactory evidence that the auditee acts  rigorously and diligently when engaging and recruiting migrant workers both directly and indirectly? " xr:uid="{00000000-0004-0000-1300-00003D000000}"/>
    <hyperlink ref="D210" location="QELEVENTHREE" tooltip="Click on the question to access the guidelines" display="Is there satisfactory evidence that the auditee does not subject workers to inhumane or degrading treatment, corporal punishment, mental or physical coercion and/or verbal abuse?" xr:uid="{00000000-0004-0000-1300-00003E000000}"/>
    <hyperlink ref="D211" location="QELEVENFOUR" tooltip="Click on the question to access the guidelines" display="Is there satisfactory evidence the auditee has established all applicable disciplinary procedures  in writing and has  explained them verbally to workers in clear and understandable terms?" xr:uid="{00000000-0004-0000-1300-00003F000000}"/>
  </hyperlinks>
  <pageMargins left="0.7" right="0.7" top="0.75" bottom="0.75" header="0.3" footer="0.3"/>
  <pageSetup paperSize="9" orientation="portrait" r:id="rId1"/>
  <ignoredErrors>
    <ignoredError sqref="F85 F10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3464" r:id="rId4" name="Button 8">
              <controlPr defaultSize="0" print="0" autoFill="0" autoPict="0" macro="[0]!CopyPA13">
                <anchor moveWithCells="1" sizeWithCells="1">
                  <from>
                    <xdr:col>1</xdr:col>
                    <xdr:colOff>0</xdr:colOff>
                    <xdr:row>245</xdr:row>
                    <xdr:rowOff>565150</xdr:rowOff>
                  </from>
                  <to>
                    <xdr:col>1</xdr:col>
                    <xdr:colOff>1733550</xdr:colOff>
                    <xdr:row>249</xdr:row>
                    <xdr:rowOff>12700</xdr:rowOff>
                  </to>
                </anchor>
              </controlPr>
            </control>
          </mc:Choice>
        </mc:AlternateContent>
        <mc:AlternateContent xmlns:mc="http://schemas.openxmlformats.org/markup-compatibility/2006">
          <mc:Choice Requires="x14">
            <control shapeId="403465" r:id="rId5" name="Button 9">
              <controlPr defaultSize="0" print="0" autoFill="0" autoPict="0" macro="[0]!CopyPA12">
                <anchor moveWithCells="1" sizeWithCells="1">
                  <from>
                    <xdr:col>1</xdr:col>
                    <xdr:colOff>0</xdr:colOff>
                    <xdr:row>228</xdr:row>
                    <xdr:rowOff>355600</xdr:rowOff>
                  </from>
                  <to>
                    <xdr:col>1</xdr:col>
                    <xdr:colOff>1733550</xdr:colOff>
                    <xdr:row>230</xdr:row>
                    <xdr:rowOff>279400</xdr:rowOff>
                  </to>
                </anchor>
              </controlPr>
            </control>
          </mc:Choice>
        </mc:AlternateContent>
        <mc:AlternateContent xmlns:mc="http://schemas.openxmlformats.org/markup-compatibility/2006">
          <mc:Choice Requires="x14">
            <control shapeId="403466" r:id="rId6" name="Button 10">
              <controlPr defaultSize="0" print="0" autoFill="0" autoPict="0" macro="[0]!CopyPA11">
                <anchor moveWithCells="1" sizeWithCells="1">
                  <from>
                    <xdr:col>1</xdr:col>
                    <xdr:colOff>0</xdr:colOff>
                    <xdr:row>210</xdr:row>
                    <xdr:rowOff>590550</xdr:rowOff>
                  </from>
                  <to>
                    <xdr:col>1</xdr:col>
                    <xdr:colOff>1733550</xdr:colOff>
                    <xdr:row>214</xdr:row>
                    <xdr:rowOff>12700</xdr:rowOff>
                  </to>
                </anchor>
              </controlPr>
            </control>
          </mc:Choice>
        </mc:AlternateContent>
        <mc:AlternateContent xmlns:mc="http://schemas.openxmlformats.org/markup-compatibility/2006">
          <mc:Choice Requires="x14">
            <control shapeId="403467" r:id="rId7" name="Button 11">
              <controlPr defaultSize="0" print="0" autoFill="0" autoPict="0" macro="[0]!CopyPA10">
                <anchor moveWithCells="1" sizeWithCells="1">
                  <from>
                    <xdr:col>1</xdr:col>
                    <xdr:colOff>0</xdr:colOff>
                    <xdr:row>193</xdr:row>
                    <xdr:rowOff>374650</xdr:rowOff>
                  </from>
                  <to>
                    <xdr:col>1</xdr:col>
                    <xdr:colOff>1733550</xdr:colOff>
                    <xdr:row>196</xdr:row>
                    <xdr:rowOff>0</xdr:rowOff>
                  </to>
                </anchor>
              </controlPr>
            </control>
          </mc:Choice>
        </mc:AlternateContent>
        <mc:AlternateContent xmlns:mc="http://schemas.openxmlformats.org/markup-compatibility/2006">
          <mc:Choice Requires="x14">
            <control shapeId="403468" r:id="rId8" name="Button 12">
              <controlPr defaultSize="0" print="0" autoFill="0" autoPict="0" macro="[0]!CopyPA9">
                <anchor moveWithCells="1" sizeWithCells="1">
                  <from>
                    <xdr:col>1</xdr:col>
                    <xdr:colOff>0</xdr:colOff>
                    <xdr:row>176</xdr:row>
                    <xdr:rowOff>742950</xdr:rowOff>
                  </from>
                  <to>
                    <xdr:col>1</xdr:col>
                    <xdr:colOff>1733550</xdr:colOff>
                    <xdr:row>179</xdr:row>
                    <xdr:rowOff>0</xdr:rowOff>
                  </to>
                </anchor>
              </controlPr>
            </control>
          </mc:Choice>
        </mc:AlternateContent>
        <mc:AlternateContent xmlns:mc="http://schemas.openxmlformats.org/markup-compatibility/2006">
          <mc:Choice Requires="x14">
            <control shapeId="403469" r:id="rId9" name="Button 13">
              <controlPr defaultSize="0" print="0" autoFill="0" autoPict="0" macro="[0]!CopyPA8">
                <anchor moveWithCells="1" sizeWithCells="1">
                  <from>
                    <xdr:col>1</xdr:col>
                    <xdr:colOff>12700</xdr:colOff>
                    <xdr:row>157</xdr:row>
                    <xdr:rowOff>400050</xdr:rowOff>
                  </from>
                  <to>
                    <xdr:col>1</xdr:col>
                    <xdr:colOff>1733550</xdr:colOff>
                    <xdr:row>159</xdr:row>
                    <xdr:rowOff>279400</xdr:rowOff>
                  </to>
                </anchor>
              </controlPr>
            </control>
          </mc:Choice>
        </mc:AlternateContent>
        <mc:AlternateContent xmlns:mc="http://schemas.openxmlformats.org/markup-compatibility/2006">
          <mc:Choice Requires="x14">
            <control shapeId="403470" r:id="rId10" name="Button 14">
              <controlPr defaultSize="0" print="0" autoFill="0" autoPict="0" macro="[0]!CopyPA7">
                <anchor moveWithCells="1" sizeWithCells="1">
                  <from>
                    <xdr:col>0</xdr:col>
                    <xdr:colOff>590550</xdr:colOff>
                    <xdr:row>142</xdr:row>
                    <xdr:rowOff>0</xdr:rowOff>
                  </from>
                  <to>
                    <xdr:col>1</xdr:col>
                    <xdr:colOff>1733550</xdr:colOff>
                    <xdr:row>143</xdr:row>
                    <xdr:rowOff>0</xdr:rowOff>
                  </to>
                </anchor>
              </controlPr>
            </control>
          </mc:Choice>
        </mc:AlternateContent>
        <mc:AlternateContent xmlns:mc="http://schemas.openxmlformats.org/markup-compatibility/2006">
          <mc:Choice Requires="x14">
            <control shapeId="403471" r:id="rId11" name="Button 15">
              <controlPr defaultSize="0" print="0" autoFill="0" autoPict="0" macro="[0]!CopyPA6">
                <anchor moveWithCells="1" sizeWithCells="1">
                  <from>
                    <xdr:col>0</xdr:col>
                    <xdr:colOff>603250</xdr:colOff>
                    <xdr:row>103</xdr:row>
                    <xdr:rowOff>0</xdr:rowOff>
                  </from>
                  <to>
                    <xdr:col>1</xdr:col>
                    <xdr:colOff>1733550</xdr:colOff>
                    <xdr:row>105</xdr:row>
                    <xdr:rowOff>0</xdr:rowOff>
                  </to>
                </anchor>
              </controlPr>
            </control>
          </mc:Choice>
        </mc:AlternateContent>
        <mc:AlternateContent xmlns:mc="http://schemas.openxmlformats.org/markup-compatibility/2006">
          <mc:Choice Requires="x14">
            <control shapeId="403472" r:id="rId12" name="Button 16">
              <controlPr defaultSize="0" print="0" autoFill="0" autoPict="0" macro="[0]!CopyPA5">
                <anchor moveWithCells="1" sizeWithCells="1">
                  <from>
                    <xdr:col>1</xdr:col>
                    <xdr:colOff>0</xdr:colOff>
                    <xdr:row>87</xdr:row>
                    <xdr:rowOff>0</xdr:rowOff>
                  </from>
                  <to>
                    <xdr:col>1</xdr:col>
                    <xdr:colOff>1733550</xdr:colOff>
                    <xdr:row>88</xdr:row>
                    <xdr:rowOff>0</xdr:rowOff>
                  </to>
                </anchor>
              </controlPr>
            </control>
          </mc:Choice>
        </mc:AlternateContent>
        <mc:AlternateContent xmlns:mc="http://schemas.openxmlformats.org/markup-compatibility/2006">
          <mc:Choice Requires="x14">
            <control shapeId="403473" r:id="rId13" name="Button 17">
              <controlPr defaultSize="0" print="0" autoFill="0" autoPict="0" macro="[0]!CopyPA4">
                <anchor moveWithCells="1" sizeWithCells="1">
                  <from>
                    <xdr:col>1</xdr:col>
                    <xdr:colOff>0</xdr:colOff>
                    <xdr:row>68</xdr:row>
                    <xdr:rowOff>0</xdr:rowOff>
                  </from>
                  <to>
                    <xdr:col>1</xdr:col>
                    <xdr:colOff>1733550</xdr:colOff>
                    <xdr:row>70</xdr:row>
                    <xdr:rowOff>0</xdr:rowOff>
                  </to>
                </anchor>
              </controlPr>
            </control>
          </mc:Choice>
        </mc:AlternateContent>
        <mc:AlternateContent xmlns:mc="http://schemas.openxmlformats.org/markup-compatibility/2006">
          <mc:Choice Requires="x14">
            <control shapeId="403474" r:id="rId14" name="Button 18">
              <controlPr defaultSize="0" print="0" autoFill="0" autoPict="0" macro="[0]!CopyPA3">
                <anchor moveWithCells="1" sizeWithCells="1">
                  <from>
                    <xdr:col>1</xdr:col>
                    <xdr:colOff>0</xdr:colOff>
                    <xdr:row>52</xdr:row>
                    <xdr:rowOff>0</xdr:rowOff>
                  </from>
                  <to>
                    <xdr:col>1</xdr:col>
                    <xdr:colOff>1733550</xdr:colOff>
                    <xdr:row>52</xdr:row>
                    <xdr:rowOff>285750</xdr:rowOff>
                  </to>
                </anchor>
              </controlPr>
            </control>
          </mc:Choice>
        </mc:AlternateContent>
        <mc:AlternateContent xmlns:mc="http://schemas.openxmlformats.org/markup-compatibility/2006">
          <mc:Choice Requires="x14">
            <control shapeId="403475" r:id="rId15" name="Button 19">
              <controlPr defaultSize="0" print="0" autoFill="0" autoPict="0" macro="[0]!CopyPA2">
                <anchor moveWithCells="1" sizeWithCells="1">
                  <from>
                    <xdr:col>1</xdr:col>
                    <xdr:colOff>0</xdr:colOff>
                    <xdr:row>35</xdr:row>
                    <xdr:rowOff>0</xdr:rowOff>
                  </from>
                  <to>
                    <xdr:col>1</xdr:col>
                    <xdr:colOff>1733550</xdr:colOff>
                    <xdr:row>37</xdr:row>
                    <xdr:rowOff>0</xdr:rowOff>
                  </to>
                </anchor>
              </controlPr>
            </control>
          </mc:Choice>
        </mc:AlternateContent>
        <mc:AlternateContent xmlns:mc="http://schemas.openxmlformats.org/markup-compatibility/2006">
          <mc:Choice Requires="x14">
            <control shapeId="403476" r:id="rId16" name="Button 20">
              <controlPr defaultSize="0" print="0" autoFill="0" autoPict="0" macro="[0]!CopyPA1">
                <anchor moveWithCells="1" sizeWithCells="1">
                  <from>
                    <xdr:col>1</xdr:col>
                    <xdr:colOff>0</xdr:colOff>
                    <xdr:row>17</xdr:row>
                    <xdr:rowOff>0</xdr:rowOff>
                  </from>
                  <to>
                    <xdr:col>1</xdr:col>
                    <xdr:colOff>1733550</xdr:colOff>
                    <xdr:row>18</xdr:row>
                    <xdr:rowOff>0</xdr:rowOff>
                  </to>
                </anchor>
              </controlPr>
            </control>
          </mc:Choice>
        </mc:AlternateContent>
        <mc:AlternateContent xmlns:mc="http://schemas.openxmlformats.org/markup-compatibility/2006">
          <mc:Choice Requires="x14">
            <control shapeId="403478" r:id="rId17" name="Button 22">
              <controlPr defaultSize="0" print="0" autoFill="0" autoPict="0" macro="[0]!Copy5d2">
                <anchor moveWithCells="1" sizeWithCells="1">
                  <from>
                    <xdr:col>10</xdr:col>
                    <xdr:colOff>12700</xdr:colOff>
                    <xdr:row>81</xdr:row>
                    <xdr:rowOff>0</xdr:rowOff>
                  </from>
                  <to>
                    <xdr:col>16</xdr:col>
                    <xdr:colOff>19050</xdr:colOff>
                    <xdr:row>81</xdr:row>
                    <xdr:rowOff>514350</xdr:rowOff>
                  </to>
                </anchor>
              </controlPr>
            </control>
          </mc:Choice>
        </mc:AlternateContent>
        <mc:AlternateContent xmlns:mc="http://schemas.openxmlformats.org/markup-compatibility/2006">
          <mc:Choice Requires="x14">
            <control shapeId="403479" r:id="rId18" name="Button 23">
              <controlPr defaultSize="0" print="0" autoFill="0" autoPict="0" macro="[0]!Copy5d4">
                <anchor moveWithCells="1" sizeWithCells="1">
                  <from>
                    <xdr:col>9</xdr:col>
                    <xdr:colOff>590550</xdr:colOff>
                    <xdr:row>82</xdr:row>
                    <xdr:rowOff>495300</xdr:rowOff>
                  </from>
                  <to>
                    <xdr:col>16</xdr:col>
                    <xdr:colOff>0</xdr:colOff>
                    <xdr:row>83</xdr:row>
                    <xdr:rowOff>374650</xdr:rowOff>
                  </to>
                </anchor>
              </controlPr>
            </control>
          </mc:Choice>
        </mc:AlternateContent>
        <mc:AlternateContent xmlns:mc="http://schemas.openxmlformats.org/markup-compatibility/2006">
          <mc:Choice Requires="x14">
            <control shapeId="403480" r:id="rId19" name="Button 24">
              <controlPr defaultSize="0" print="0" autoFill="0" autoPict="0" macro="[0]!Copy5d5">
                <anchor moveWithCells="1" sizeWithCells="1">
                  <from>
                    <xdr:col>10</xdr:col>
                    <xdr:colOff>50800</xdr:colOff>
                    <xdr:row>84</xdr:row>
                    <xdr:rowOff>342900</xdr:rowOff>
                  </from>
                  <to>
                    <xdr:col>16</xdr:col>
                    <xdr:colOff>12700</xdr:colOff>
                    <xdr:row>84</xdr:row>
                    <xdr:rowOff>914400</xdr:rowOff>
                  </to>
                </anchor>
              </controlPr>
            </control>
          </mc:Choice>
        </mc:AlternateContent>
        <mc:AlternateContent xmlns:mc="http://schemas.openxmlformats.org/markup-compatibility/2006">
          <mc:Choice Requires="x14">
            <control shapeId="403481" r:id="rId20" name="Button 25">
              <controlPr defaultSize="0" print="0" autoFill="0" autoPict="0" macro="[0]!Copy6d2">
                <anchor moveWithCells="1">
                  <from>
                    <xdr:col>10</xdr:col>
                    <xdr:colOff>19050</xdr:colOff>
                    <xdr:row>100</xdr:row>
                    <xdr:rowOff>38100</xdr:rowOff>
                  </from>
                  <to>
                    <xdr:col>16</xdr:col>
                    <xdr:colOff>50800</xdr:colOff>
                    <xdr:row>100</xdr:row>
                    <xdr:rowOff>628650</xdr:rowOff>
                  </to>
                </anchor>
              </controlPr>
            </control>
          </mc:Choice>
        </mc:AlternateContent>
        <mc:AlternateContent xmlns:mc="http://schemas.openxmlformats.org/markup-compatibility/2006">
          <mc:Choice Requires="x14">
            <control shapeId="403482" r:id="rId21" name="Button 26">
              <controlPr defaultSize="0" print="0" autoFill="0" autoPict="0" macro="[0]!Copy7d1">
                <anchor moveWithCells="1">
                  <from>
                    <xdr:col>10</xdr:col>
                    <xdr:colOff>12700</xdr:colOff>
                    <xdr:row>115</xdr:row>
                    <xdr:rowOff>304800</xdr:rowOff>
                  </from>
                  <to>
                    <xdr:col>16</xdr:col>
                    <xdr:colOff>38100</xdr:colOff>
                    <xdr:row>117</xdr:row>
                    <xdr:rowOff>44450</xdr:rowOff>
                  </to>
                </anchor>
              </controlPr>
            </control>
          </mc:Choice>
        </mc:AlternateContent>
        <mc:AlternateContent xmlns:mc="http://schemas.openxmlformats.org/markup-compatibility/2006">
          <mc:Choice Requires="x14">
            <control shapeId="403483" r:id="rId22" name="Button 27">
              <controlPr defaultSize="0" print="0" autoFill="0" autoPict="0" macro="[0]!Copy7d2">
                <anchor moveWithCells="1">
                  <from>
                    <xdr:col>10</xdr:col>
                    <xdr:colOff>12700</xdr:colOff>
                    <xdr:row>117</xdr:row>
                    <xdr:rowOff>12700</xdr:rowOff>
                  </from>
                  <to>
                    <xdr:col>16</xdr:col>
                    <xdr:colOff>38100</xdr:colOff>
                    <xdr:row>118</xdr:row>
                    <xdr:rowOff>63500</xdr:rowOff>
                  </to>
                </anchor>
              </controlPr>
            </control>
          </mc:Choice>
        </mc:AlternateContent>
        <mc:AlternateContent xmlns:mc="http://schemas.openxmlformats.org/markup-compatibility/2006">
          <mc:Choice Requires="x14">
            <control shapeId="403484" r:id="rId23" name="Button 28">
              <controlPr defaultSize="0" print="0" autoFill="0" autoPict="0" macro="[0]!Copy7d7">
                <anchor moveWithCells="1">
                  <from>
                    <xdr:col>10</xdr:col>
                    <xdr:colOff>38100</xdr:colOff>
                    <xdr:row>122</xdr:row>
                    <xdr:rowOff>69850</xdr:rowOff>
                  </from>
                  <to>
                    <xdr:col>16</xdr:col>
                    <xdr:colOff>57150</xdr:colOff>
                    <xdr:row>122</xdr:row>
                    <xdr:rowOff>514350</xdr:rowOff>
                  </to>
                </anchor>
              </controlPr>
            </control>
          </mc:Choice>
        </mc:AlternateContent>
        <mc:AlternateContent xmlns:mc="http://schemas.openxmlformats.org/markup-compatibility/2006">
          <mc:Choice Requires="x14">
            <control shapeId="403485" r:id="rId24" name="Button 29">
              <controlPr defaultSize="0" print="0" autoFill="0" autoPict="0" macro="[0]!Copy7d6">
                <anchor moveWithCells="1" sizeWithCells="1">
                  <from>
                    <xdr:col>10</xdr:col>
                    <xdr:colOff>19050</xdr:colOff>
                    <xdr:row>121</xdr:row>
                    <xdr:rowOff>12700</xdr:rowOff>
                  </from>
                  <to>
                    <xdr:col>16</xdr:col>
                    <xdr:colOff>38100</xdr:colOff>
                    <xdr:row>121</xdr:row>
                    <xdr:rowOff>552450</xdr:rowOff>
                  </to>
                </anchor>
              </controlPr>
            </control>
          </mc:Choice>
        </mc:AlternateContent>
        <mc:AlternateContent xmlns:mc="http://schemas.openxmlformats.org/markup-compatibility/2006">
          <mc:Choice Requires="x14">
            <control shapeId="403486" r:id="rId25" name="Button 30">
              <controlPr defaultSize="0" print="0" autoFill="0" autoPict="0" macro="[0]!Copy7d13">
                <anchor moveWithCells="1" sizeWithCells="1">
                  <from>
                    <xdr:col>10</xdr:col>
                    <xdr:colOff>57150</xdr:colOff>
                    <xdr:row>128</xdr:row>
                    <xdr:rowOff>0</xdr:rowOff>
                  </from>
                  <to>
                    <xdr:col>16</xdr:col>
                    <xdr:colOff>12700</xdr:colOff>
                    <xdr:row>128</xdr:row>
                    <xdr:rowOff>641350</xdr:rowOff>
                  </to>
                </anchor>
              </controlPr>
            </control>
          </mc:Choice>
        </mc:AlternateContent>
        <mc:AlternateContent xmlns:mc="http://schemas.openxmlformats.org/markup-compatibility/2006">
          <mc:Choice Requires="x14">
            <control shapeId="403488" r:id="rId26" name="Button 32">
              <controlPr defaultSize="0" print="0" autoFill="0" autoPict="0" macro="[0]!Copy7d3">
                <anchor moveWithCells="1" sizeWithCells="1">
                  <from>
                    <xdr:col>10</xdr:col>
                    <xdr:colOff>19050</xdr:colOff>
                    <xdr:row>118</xdr:row>
                    <xdr:rowOff>133350</xdr:rowOff>
                  </from>
                  <to>
                    <xdr:col>10</xdr:col>
                    <xdr:colOff>590550</xdr:colOff>
                    <xdr:row>119</xdr:row>
                    <xdr:rowOff>19050</xdr:rowOff>
                  </to>
                </anchor>
              </controlPr>
            </control>
          </mc:Choice>
        </mc:AlternateContent>
        <mc:AlternateContent xmlns:mc="http://schemas.openxmlformats.org/markup-compatibility/2006">
          <mc:Choice Requires="x14">
            <control shapeId="403489" r:id="rId27" name="Button 33">
              <controlPr defaultSize="0" print="0" autoFill="0" autoPict="0">
                <anchor moveWithCells="1" sizeWithCells="1">
                  <from>
                    <xdr:col>10</xdr:col>
                    <xdr:colOff>0</xdr:colOff>
                    <xdr:row>124</xdr:row>
                    <xdr:rowOff>12700</xdr:rowOff>
                  </from>
                  <to>
                    <xdr:col>16</xdr:col>
                    <xdr:colOff>12700</xdr:colOff>
                    <xdr:row>125</xdr:row>
                    <xdr:rowOff>12700</xdr:rowOff>
                  </to>
                </anchor>
              </controlPr>
            </control>
          </mc:Choice>
        </mc:AlternateContent>
        <mc:AlternateContent xmlns:mc="http://schemas.openxmlformats.org/markup-compatibility/2006">
          <mc:Choice Requires="x14">
            <control shapeId="403490" r:id="rId28" name="Button 34">
              <controlPr defaultSize="0" print="0" autoFill="0" autoPict="0" macro="[0]!Copy7d17">
                <anchor moveWithCells="1" sizeWithCells="1">
                  <from>
                    <xdr:col>10</xdr:col>
                    <xdr:colOff>12700</xdr:colOff>
                    <xdr:row>132</xdr:row>
                    <xdr:rowOff>203200</xdr:rowOff>
                  </from>
                  <to>
                    <xdr:col>16</xdr:col>
                    <xdr:colOff>12700</xdr:colOff>
                    <xdr:row>132</xdr:row>
                    <xdr:rowOff>762000</xdr:rowOff>
                  </to>
                </anchor>
              </controlPr>
            </control>
          </mc:Choice>
        </mc:AlternateContent>
        <mc:AlternateContent xmlns:mc="http://schemas.openxmlformats.org/markup-compatibility/2006">
          <mc:Choice Requires="x14">
            <control shapeId="403492" r:id="rId29" name="Button 36">
              <controlPr defaultSize="0" print="0" autoFill="0" autoPict="0" macro="[0]!Copy7d22">
                <anchor moveWithCells="1" sizeWithCells="1">
                  <from>
                    <xdr:col>10</xdr:col>
                    <xdr:colOff>0</xdr:colOff>
                    <xdr:row>137</xdr:row>
                    <xdr:rowOff>146050</xdr:rowOff>
                  </from>
                  <to>
                    <xdr:col>16</xdr:col>
                    <xdr:colOff>19050</xdr:colOff>
                    <xdr:row>137</xdr:row>
                    <xdr:rowOff>755650</xdr:rowOff>
                  </to>
                </anchor>
              </controlPr>
            </control>
          </mc:Choice>
        </mc:AlternateContent>
        <mc:AlternateContent xmlns:mc="http://schemas.openxmlformats.org/markup-compatibility/2006">
          <mc:Choice Requires="x14">
            <control shapeId="403494" r:id="rId30" name="Button 38">
              <controlPr defaultSize="0" print="0" autoFill="0" autoPict="0" macro="[0]!Copy12d3">
                <anchor moveWithCells="1" sizeWithCells="1">
                  <from>
                    <xdr:col>10</xdr:col>
                    <xdr:colOff>12700</xdr:colOff>
                    <xdr:row>226</xdr:row>
                    <xdr:rowOff>19050</xdr:rowOff>
                  </from>
                  <to>
                    <xdr:col>16</xdr:col>
                    <xdr:colOff>0</xdr:colOff>
                    <xdr:row>226</xdr:row>
                    <xdr:rowOff>374650</xdr:rowOff>
                  </to>
                </anchor>
              </controlPr>
            </control>
          </mc:Choice>
        </mc:AlternateContent>
        <mc:AlternateContent xmlns:mc="http://schemas.openxmlformats.org/markup-compatibility/2006">
          <mc:Choice Requires="x14">
            <control shapeId="403495" r:id="rId31" name="Button 39">
              <controlPr defaultSize="0" print="0" autoFill="0" autoPict="0" macro="[0]!Copy12d4">
                <anchor moveWithCells="1" sizeWithCells="1">
                  <from>
                    <xdr:col>10</xdr:col>
                    <xdr:colOff>0</xdr:colOff>
                    <xdr:row>227</xdr:row>
                    <xdr:rowOff>76200</xdr:rowOff>
                  </from>
                  <to>
                    <xdr:col>16</xdr:col>
                    <xdr:colOff>19050</xdr:colOff>
                    <xdr:row>228</xdr:row>
                    <xdr:rowOff>0</xdr:rowOff>
                  </to>
                </anchor>
              </controlPr>
            </control>
          </mc:Choice>
        </mc:AlternateContent>
        <mc:AlternateContent xmlns:mc="http://schemas.openxmlformats.org/markup-compatibility/2006">
          <mc:Choice Requires="x14">
            <control shapeId="403496" r:id="rId32" name="Button 40">
              <controlPr defaultSize="0" print="0" autoFill="0" autoPict="0" macro="[0]!Copy10d2">
                <anchor moveWithCells="1" sizeWithCells="1">
                  <from>
                    <xdr:col>10</xdr:col>
                    <xdr:colOff>0</xdr:colOff>
                    <xdr:row>191</xdr:row>
                    <xdr:rowOff>38100</xdr:rowOff>
                  </from>
                  <to>
                    <xdr:col>16</xdr:col>
                    <xdr:colOff>19050</xdr:colOff>
                    <xdr:row>192</xdr:row>
                    <xdr:rowOff>0</xdr:rowOff>
                  </to>
                </anchor>
              </controlPr>
            </control>
          </mc:Choice>
        </mc:AlternateContent>
        <mc:AlternateContent xmlns:mc="http://schemas.openxmlformats.org/markup-compatibility/2006">
          <mc:Choice Requires="x14">
            <control shapeId="403497" r:id="rId33" name="Button 41">
              <controlPr defaultSize="0" print="0" autoFill="0" autoPict="0" macro="[0]!Copy10d3">
                <anchor moveWithCells="1" sizeWithCells="1">
                  <from>
                    <xdr:col>10</xdr:col>
                    <xdr:colOff>19050</xdr:colOff>
                    <xdr:row>192</xdr:row>
                    <xdr:rowOff>76200</xdr:rowOff>
                  </from>
                  <to>
                    <xdr:col>16</xdr:col>
                    <xdr:colOff>0</xdr:colOff>
                    <xdr:row>192</xdr:row>
                    <xdr:rowOff>438150</xdr:rowOff>
                  </to>
                </anchor>
              </controlPr>
            </control>
          </mc:Choice>
        </mc:AlternateContent>
        <mc:AlternateContent xmlns:mc="http://schemas.openxmlformats.org/markup-compatibility/2006">
          <mc:Choice Requires="x14">
            <control shapeId="403501" r:id="rId34" name="Button 45">
              <controlPr defaultSize="0" print="0" autoFill="0" autoPict="0" macro="[0]!Copy1d1">
                <anchor moveWithCells="1" sizeWithCells="1">
                  <from>
                    <xdr:col>10</xdr:col>
                    <xdr:colOff>0</xdr:colOff>
                    <xdr:row>9</xdr:row>
                    <xdr:rowOff>76200</xdr:rowOff>
                  </from>
                  <to>
                    <xdr:col>10</xdr:col>
                    <xdr:colOff>590550</xdr:colOff>
                    <xdr:row>10</xdr:row>
                    <xdr:rowOff>0</xdr:rowOff>
                  </to>
                </anchor>
              </controlPr>
            </control>
          </mc:Choice>
        </mc:AlternateContent>
        <mc:AlternateContent xmlns:mc="http://schemas.openxmlformats.org/markup-compatibility/2006">
          <mc:Choice Requires="x14">
            <control shapeId="403502" r:id="rId35" name="Button 46">
              <controlPr defaultSize="0" print="0" autoFill="0" autoPict="0" macro="[0]!Copy1d4">
                <anchor moveWithCells="1" sizeWithCells="1">
                  <from>
                    <xdr:col>9</xdr:col>
                    <xdr:colOff>590550</xdr:colOff>
                    <xdr:row>12</xdr:row>
                    <xdr:rowOff>12700</xdr:rowOff>
                  </from>
                  <to>
                    <xdr:col>16</xdr:col>
                    <xdr:colOff>12700</xdr:colOff>
                    <xdr:row>12</xdr:row>
                    <xdr:rowOff>450850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664D0-42AE-47B9-AFEF-E1ABF37B7B05}">
  <sheetPr codeName="uni"/>
  <dimension ref="A2:O175"/>
  <sheetViews>
    <sheetView workbookViewId="0">
      <selection activeCell="L32" sqref="L32"/>
    </sheetView>
  </sheetViews>
  <sheetFormatPr defaultColWidth="13.7265625" defaultRowHeight="21.75" customHeight="1"/>
  <cols>
    <col min="1" max="1" width="10.6328125" style="1" customWidth="1"/>
    <col min="2" max="2" width="16.7265625" style="1" customWidth="1"/>
    <col min="3" max="3" width="13.7265625" style="1"/>
    <col min="4" max="4" width="13.7265625" style="1" customWidth="1"/>
    <col min="5" max="16384" width="13.7265625" style="1"/>
  </cols>
  <sheetData>
    <row r="2" spans="1:13" ht="21.75" hidden="1" customHeight="1">
      <c r="A2" s="1" t="s">
        <v>1445</v>
      </c>
      <c r="B2" s="588" t="s">
        <v>1470</v>
      </c>
      <c r="C2" s="589"/>
      <c r="D2" s="224" t="s">
        <v>1570</v>
      </c>
      <c r="E2" s="269" t="str">
        <f>'DE Background Information'!H26</f>
        <v>周伟武/生产经理</v>
      </c>
      <c r="F2" s="224" t="s">
        <v>1548</v>
      </c>
    </row>
    <row r="3" spans="1:13" ht="21.75" hidden="1" customHeight="1">
      <c r="B3" s="190" t="b">
        <v>1</v>
      </c>
      <c r="C3" s="190" t="s">
        <v>1656</v>
      </c>
      <c r="D3" s="1" t="b">
        <v>1</v>
      </c>
      <c r="E3" s="269" t="str">
        <f>'DE Background Information'!H25</f>
        <v>Mr. Zhou Weiwu/Production Manager</v>
      </c>
      <c r="F3" s="1" t="b">
        <v>1</v>
      </c>
    </row>
    <row r="4" spans="1:13" ht="54.75" hidden="1" customHeight="1">
      <c r="B4" s="371" t="s">
        <v>1765</v>
      </c>
      <c r="C4" s="371"/>
      <c r="D4" s="371"/>
      <c r="E4" s="371"/>
      <c r="F4" s="371"/>
      <c r="G4" s="371"/>
      <c r="H4" s="371"/>
      <c r="I4" s="591" t="s">
        <v>1595</v>
      </c>
      <c r="J4" s="591"/>
      <c r="K4" s="591"/>
      <c r="L4" s="591"/>
      <c r="M4" s="591"/>
    </row>
    <row r="5" spans="1:13" ht="21.75" hidden="1" customHeight="1">
      <c r="B5" s="587" t="str">
        <f>"工厂根据BSCI行为准则建立，实施和保持了社会责任政策和程序，承诺在劳工权利，职业健康和安全以及环境保护等方面持续改进社会责任绩效。工厂指派"&amp;'DE Background Information'!H26&amp;"来统筹协调社会责任管理体系的落实，相关的职责和权限在组织内部得以分配和沟通。"</f>
        <v>工厂根据BSCI行为准则建立，实施和保持了社会责任政策和程序，承诺在劳工权利，职业健康和安全以及环境保护等方面持续改进社会责任绩效。工厂指派周伟武/生产经理来统筹协调社会责任管理体系的落实，相关的职责和权限在组织内部得以分配和沟通。</v>
      </c>
      <c r="C5" s="587"/>
      <c r="D5" s="587"/>
      <c r="E5" s="587"/>
      <c r="F5" s="587"/>
      <c r="G5" s="587"/>
      <c r="H5" s="587"/>
      <c r="I5" s="587"/>
      <c r="J5" s="587"/>
      <c r="K5" s="587"/>
      <c r="L5" s="587"/>
      <c r="M5" s="587"/>
    </row>
    <row r="6" spans="1:13" ht="24" hidden="1" customHeight="1">
      <c r="B6" s="1" t="s">
        <v>1723</v>
      </c>
    </row>
    <row r="7" spans="1:13" ht="30.75" hidden="1" customHeight="1">
      <c r="B7" s="1" t="s">
        <v>1766</v>
      </c>
    </row>
    <row r="8" spans="1:13" ht="21.75" hidden="1" customHeight="1">
      <c r="A8" s="1" t="s">
        <v>1599</v>
      </c>
      <c r="B8" s="587" t="s">
        <v>1600</v>
      </c>
      <c r="C8" s="587"/>
      <c r="D8" s="587"/>
      <c r="G8" s="1" t="s">
        <v>1601</v>
      </c>
    </row>
    <row r="9" spans="1:13" ht="21.75" hidden="1" customHeight="1">
      <c r="B9" s="1" t="b">
        <v>1</v>
      </c>
      <c r="G9" s="1" t="b">
        <v>1</v>
      </c>
    </row>
    <row r="10" spans="1:13" ht="21.75" hidden="1" customHeight="1">
      <c r="B10" s="1" t="s">
        <v>1606</v>
      </c>
      <c r="G10" s="1" t="s">
        <v>1607</v>
      </c>
    </row>
    <row r="11" spans="1:13" ht="21.75" hidden="1" customHeight="1">
      <c r="B11" s="1" t="b">
        <v>1</v>
      </c>
      <c r="G11" s="1" t="b">
        <v>1</v>
      </c>
    </row>
    <row r="12" spans="1:13" ht="21.75" hidden="1" customHeight="1">
      <c r="B12" s="1" t="s">
        <v>1612</v>
      </c>
    </row>
    <row r="13" spans="1:13" ht="21.75" hidden="1" customHeight="1">
      <c r="B13" s="1" t="b">
        <v>0</v>
      </c>
    </row>
    <row r="14" spans="1:13" ht="21.75" hidden="1" customHeight="1"/>
    <row r="15" spans="1:13" ht="21.75" hidden="1" customHeight="1">
      <c r="A15" s="570" t="s">
        <v>76</v>
      </c>
      <c r="B15" s="588" t="s">
        <v>1355</v>
      </c>
      <c r="C15" s="589"/>
      <c r="D15" s="224" t="s">
        <v>1350</v>
      </c>
      <c r="E15" s="224" t="s">
        <v>1351</v>
      </c>
      <c r="F15" s="223" t="s">
        <v>0</v>
      </c>
      <c r="G15" s="223" t="s">
        <v>1559</v>
      </c>
      <c r="H15" s="223" t="s">
        <v>88</v>
      </c>
      <c r="I15" s="223" t="s">
        <v>1352</v>
      </c>
      <c r="J15" s="224" t="s">
        <v>1354</v>
      </c>
      <c r="L15" s="223" t="s">
        <v>1353</v>
      </c>
    </row>
    <row r="16" spans="1:13" ht="21.75" hidden="1" customHeight="1">
      <c r="A16" s="570"/>
      <c r="B16" s="190"/>
      <c r="C16" s="584"/>
      <c r="D16" s="611"/>
      <c r="E16" s="171" t="b">
        <v>1</v>
      </c>
      <c r="F16" s="190">
        <v>1</v>
      </c>
      <c r="G16" s="190">
        <v>2021</v>
      </c>
      <c r="H16" s="190"/>
      <c r="I16" s="190" t="s">
        <v>1320</v>
      </c>
      <c r="J16" s="190"/>
      <c r="L16" s="1" t="b">
        <v>0</v>
      </c>
    </row>
    <row r="17" spans="1:15" ht="63" hidden="1" customHeight="1">
      <c r="B17" s="601" t="str">
        <f>"The factory had established written policy that supported workers' rights of freedom of association and collective bargaining. "&amp;IF(D16=TRUE,"One union named "&amp;C16&amp;" was established. ", "There was no union in this factory. ")&amp;"The communication channel between workers, worker representatives and management was smooth."&amp;IF(L16=TRUE, "", " No collective bargain agreement was concluded between the factory and workers, but the factory did not prevent workers from bargaining for the agreement. ")</f>
        <v xml:space="preserve">The factory had established written policy that supported workers' rights of freedom of association and collective bargaining. There was no union in this factory. The communication channel between workers, worker representatives and management was smooth. No collective bargain agreement was concluded between the factory and workers, but the factory did not prevent workers from bargaining for the agreement. </v>
      </c>
      <c r="C17" s="601"/>
      <c r="D17" s="601"/>
      <c r="E17" s="601"/>
      <c r="F17" s="601"/>
      <c r="G17" s="601"/>
      <c r="H17" s="601"/>
      <c r="I17" s="601"/>
      <c r="J17" s="601"/>
      <c r="K17" s="601"/>
      <c r="L17" s="601"/>
      <c r="M17" s="601"/>
    </row>
    <row r="18" spans="1:15" ht="42.75" hidden="1" customHeight="1">
      <c r="B18" s="601" t="str">
        <f>"工厂建立了书面的制度来支持员工自由结社和集体协商的权力。"&amp;IF(D16=TRUE,"建立了一个工会。","没有建立工会。")&amp;"员工代表与工人，管理层之间的沟通渠道是畅通的。"&amp;IF(L16=TRUE,"","工厂和员工无集体谈判协议，但工厂也未阻止员工有意愿的时候和工厂谈判。")</f>
        <v>工厂建立了书面的制度来支持员工自由结社和集体协商的权力。没有建立工会。员工代表与工人，管理层之间的沟通渠道是畅通的。工厂和员工无集体谈判协议，但工厂也未阻止员工有意愿的时候和工厂谈判。</v>
      </c>
      <c r="C18" s="601"/>
      <c r="D18" s="601"/>
      <c r="E18" s="601"/>
      <c r="F18" s="601"/>
      <c r="G18" s="601"/>
      <c r="H18" s="601"/>
      <c r="I18" s="601"/>
      <c r="J18" s="601"/>
      <c r="K18" s="601"/>
      <c r="L18" s="601"/>
      <c r="M18" s="601"/>
    </row>
    <row r="19" spans="1:15" ht="42" hidden="1" customHeight="1">
      <c r="A19" s="560" t="s">
        <v>1356</v>
      </c>
      <c r="B19" s="601" t="s">
        <v>1762</v>
      </c>
      <c r="C19" s="601"/>
      <c r="D19" s="601"/>
      <c r="E19" s="601"/>
      <c r="F19" s="601"/>
      <c r="G19" s="601"/>
      <c r="H19" s="601"/>
      <c r="I19" s="601"/>
      <c r="J19" s="601"/>
      <c r="K19" s="601"/>
      <c r="L19" s="601"/>
      <c r="M19" s="601"/>
    </row>
    <row r="20" spans="1:15" ht="35.25" hidden="1" customHeight="1">
      <c r="A20" s="560"/>
      <c r="B20" s="601" t="s">
        <v>1761</v>
      </c>
      <c r="C20" s="601"/>
      <c r="D20" s="601"/>
      <c r="E20" s="601"/>
      <c r="F20" s="601"/>
      <c r="G20" s="601"/>
      <c r="H20" s="601"/>
      <c r="I20" s="601"/>
      <c r="J20" s="601"/>
      <c r="K20" s="601"/>
      <c r="L20" s="601"/>
      <c r="M20" s="601"/>
    </row>
    <row r="21" spans="1:15" ht="35.25" customHeight="1">
      <c r="A21" s="13"/>
      <c r="B21" s="303"/>
      <c r="C21" s="303"/>
      <c r="D21" s="303"/>
      <c r="E21" s="303"/>
      <c r="F21" s="303"/>
      <c r="G21" s="303"/>
      <c r="H21" s="303"/>
      <c r="I21" s="172"/>
      <c r="J21" s="303"/>
      <c r="K21" s="303"/>
      <c r="L21" s="172"/>
      <c r="M21" s="172"/>
    </row>
    <row r="22" spans="1:15" ht="22.5" hidden="1" customHeight="1">
      <c r="A22" s="1">
        <v>1</v>
      </c>
      <c r="B22" s="182" t="s">
        <v>1032</v>
      </c>
      <c r="C22" s="182" t="s">
        <v>1011</v>
      </c>
      <c r="D22" s="182" t="s">
        <v>1015</v>
      </c>
      <c r="E22" s="182" t="s">
        <v>1012</v>
      </c>
      <c r="F22" s="182" t="s">
        <v>1013</v>
      </c>
      <c r="G22" s="182" t="s">
        <v>1014</v>
      </c>
      <c r="H22" s="182" t="s">
        <v>1012</v>
      </c>
      <c r="I22" s="13"/>
      <c r="J22" s="557" t="s">
        <v>1016</v>
      </c>
      <c r="K22" s="558"/>
    </row>
    <row r="23" spans="1:15" ht="21" hidden="1" customHeight="1">
      <c r="B23" s="191">
        <f>'Pre Audit Dos'!I10</f>
        <v>2500</v>
      </c>
      <c r="C23" s="191">
        <f>B23/21.75/8</f>
        <v>14.367816091954023</v>
      </c>
      <c r="D23" s="271" t="str">
        <f>'Pre Audit Dos'!H10</f>
        <v>03/2025</v>
      </c>
      <c r="E23" s="191" t="e">
        <f>B23/#REF!</f>
        <v>#REF!</v>
      </c>
      <c r="F23" s="191">
        <f>MIN(D27:D29)</f>
        <v>3000</v>
      </c>
      <c r="G23" s="191">
        <f>F23/21.75/8</f>
        <v>17.241379310344829</v>
      </c>
      <c r="H23" s="191" t="e">
        <f>F23/#REF!</f>
        <v>#REF!</v>
      </c>
      <c r="I23" s="181"/>
      <c r="J23" s="190" t="s">
        <v>1753</v>
      </c>
      <c r="K23" s="190" t="s">
        <v>1752</v>
      </c>
    </row>
    <row r="24" spans="1:15" ht="12.75" hidden="1" customHeight="1">
      <c r="B24" s="601" t="str">
        <f>"The legal minimum wage standard was CNY"&amp;B23&amp;" per month "&amp;"or CNY"&amp;TEXT(C23,"0.00")&amp;" per hour "&amp;"since "&amp;D23&amp;"."&amp;IF(ISBLANK('Pre Audit Dos'!I11),""," Previously it was CNY"&amp;'Pre Audit Dos'!I11&amp;" per month or CNY" &amp;TEXT('Pre Audit Dos'!J11,"0.00")&amp;" per hour.")&amp;" Payroll records were provided for review. "</f>
        <v xml:space="preserve">The legal minimum wage standard was CNY2500 per month or CNY14.37 per hour since 03/2025. Payroll records were provided for review. </v>
      </c>
      <c r="C24" s="601"/>
      <c r="D24" s="601"/>
      <c r="E24" s="601"/>
      <c r="F24" s="601"/>
      <c r="G24" s="601"/>
      <c r="H24" s="601"/>
      <c r="I24" s="601"/>
      <c r="J24" s="601"/>
      <c r="K24" s="601"/>
      <c r="L24" s="601"/>
      <c r="M24" s="601"/>
      <c r="N24" s="168"/>
      <c r="O24" s="168"/>
    </row>
    <row r="25" spans="1:15" ht="11.25" hidden="1" customHeight="1">
      <c r="B25" s="601" t="str">
        <f>"从"&amp;D23&amp;"起，"&amp;"当地最低工资标准是每月"&amp;B23&amp;"元"&amp;"或者"&amp;"每小时"&amp;TEXT(C23,"0.00")&amp;"元。"&amp;IF(ISBLANK('Pre Audit Dos'!I11),"","之前是"&amp;'Pre Audit Dos'!I11&amp;"元每月或者" &amp;TEXT('Pre Audit Dos'!J11,"0.00")&amp;"元每小时。")&amp;"工资表被提供给了审核。"</f>
        <v>从03/2025起，当地最低工资标准是每月2500元或者每小时14.37元。工资表被提供给了审核。</v>
      </c>
      <c r="C25" s="601"/>
      <c r="D25" s="601"/>
      <c r="E25" s="601"/>
      <c r="F25" s="601"/>
      <c r="G25" s="601"/>
      <c r="H25" s="601"/>
      <c r="I25" s="601"/>
      <c r="J25" s="601"/>
      <c r="K25" s="601"/>
      <c r="L25" s="601"/>
      <c r="M25" s="601"/>
      <c r="N25" s="168"/>
      <c r="O25" s="168"/>
    </row>
    <row r="26" spans="1:15" ht="24" customHeight="1">
      <c r="B26" s="182" t="s">
        <v>1002</v>
      </c>
      <c r="C26" s="182" t="s">
        <v>1003</v>
      </c>
      <c r="D26" s="182" t="s">
        <v>1017</v>
      </c>
      <c r="E26" s="182" t="s">
        <v>1018</v>
      </c>
      <c r="F26" s="182" t="s">
        <v>1019</v>
      </c>
      <c r="G26" s="182" t="s">
        <v>1020</v>
      </c>
      <c r="H26" s="182" t="s">
        <v>1021</v>
      </c>
      <c r="I26" s="182" t="s">
        <v>1031</v>
      </c>
      <c r="J26" s="182" t="s">
        <v>1026</v>
      </c>
      <c r="K26" s="182" t="s">
        <v>1027</v>
      </c>
      <c r="L26" s="182" t="s">
        <v>1022</v>
      </c>
      <c r="M26" s="182" t="s">
        <v>1028</v>
      </c>
      <c r="N26" s="182" t="s">
        <v>1029</v>
      </c>
      <c r="O26" s="192" t="s">
        <v>1030</v>
      </c>
    </row>
    <row r="27" spans="1:15" ht="15.5">
      <c r="B27" s="182" t="s">
        <v>1840</v>
      </c>
      <c r="C27" s="190">
        <v>6</v>
      </c>
      <c r="D27" s="190">
        <v>3000</v>
      </c>
      <c r="E27" s="191">
        <f>D27/21.75/8</f>
        <v>17.241379310344829</v>
      </c>
      <c r="F27" s="190">
        <v>168</v>
      </c>
      <c r="G27" s="191">
        <f>F27*E27</f>
        <v>2896.5517241379312</v>
      </c>
      <c r="H27" s="190">
        <v>26</v>
      </c>
      <c r="I27" s="191">
        <f>E27*H27*1.5</f>
        <v>672.41379310344837</v>
      </c>
      <c r="J27" s="190">
        <v>24</v>
      </c>
      <c r="K27" s="191">
        <f>E27*J27*2</f>
        <v>827.58620689655186</v>
      </c>
      <c r="L27" s="190">
        <v>400</v>
      </c>
      <c r="M27" s="191">
        <f>G27+I27+K27+L27</f>
        <v>4796.5517241379312</v>
      </c>
      <c r="N27" s="190">
        <v>389.84</v>
      </c>
      <c r="O27" s="191">
        <f>M27-N27</f>
        <v>4406.711724137931</v>
      </c>
    </row>
    <row r="28" spans="1:15" ht="15.5">
      <c r="B28" s="190" t="s">
        <v>1841</v>
      </c>
      <c r="C28" s="190">
        <f>C27</f>
        <v>6</v>
      </c>
      <c r="D28" s="190"/>
      <c r="E28" s="191">
        <f t="shared" ref="E28:E29" si="0">D28/21.75/8</f>
        <v>0</v>
      </c>
      <c r="F28" s="190">
        <v>168</v>
      </c>
      <c r="G28" s="191">
        <f t="shared" ref="G28:G29" si="1">F28*E28</f>
        <v>0</v>
      </c>
      <c r="H28" s="190">
        <v>22</v>
      </c>
      <c r="I28" s="191">
        <f t="shared" ref="I28:I29" si="2">E28*H28*1.5</f>
        <v>0</v>
      </c>
      <c r="J28" s="190">
        <v>32</v>
      </c>
      <c r="K28" s="191">
        <f t="shared" ref="K28:K29" si="3">E28*J28*2</f>
        <v>0</v>
      </c>
      <c r="L28" s="190">
        <f>105.75+100+1011.49</f>
        <v>1217.24</v>
      </c>
      <c r="M28" s="191">
        <f t="shared" ref="M28:M29" si="4">G28+I28+K28+L28</f>
        <v>1217.24</v>
      </c>
      <c r="N28" s="190"/>
      <c r="O28" s="191">
        <f t="shared" ref="O28:O29" si="5">M28-N28</f>
        <v>1217.24</v>
      </c>
    </row>
    <row r="29" spans="1:15" ht="15.5">
      <c r="B29" s="190" t="s">
        <v>1842</v>
      </c>
      <c r="C29" s="190">
        <f>C27</f>
        <v>6</v>
      </c>
      <c r="D29" s="190"/>
      <c r="E29" s="191">
        <f t="shared" si="0"/>
        <v>0</v>
      </c>
      <c r="F29" s="190">
        <v>140</v>
      </c>
      <c r="G29" s="191">
        <f t="shared" si="1"/>
        <v>0</v>
      </c>
      <c r="H29" s="190">
        <v>46</v>
      </c>
      <c r="I29" s="191">
        <f t="shared" si="2"/>
        <v>0</v>
      </c>
      <c r="J29" s="190">
        <v>32</v>
      </c>
      <c r="K29" s="191">
        <f t="shared" si="3"/>
        <v>0</v>
      </c>
      <c r="L29" s="190">
        <v>600</v>
      </c>
      <c r="M29" s="191">
        <f t="shared" si="4"/>
        <v>600</v>
      </c>
      <c r="N29" s="190">
        <v>500</v>
      </c>
      <c r="O29" s="191">
        <f t="shared" si="5"/>
        <v>100</v>
      </c>
    </row>
    <row r="30" spans="1:15" ht="21.75" hidden="1" customHeight="1">
      <c r="B30" s="601" t="str">
        <f>_xlfn.CONCAT("The factory paid a lowest basic wage of CNY "&amp;MIN(D27:D29)&amp;" per month, which was "&amp;IF(MIN(D27:D29)=B23,"equal to ", "higher than ")&amp;"the legal minimum wage standard. ")</f>
        <v xml:space="preserve">The factory paid a lowest basic wage of CNY 3000 per month, which was higher than the legal minimum wage standard. </v>
      </c>
      <c r="C30" s="601"/>
      <c r="D30" s="601"/>
      <c r="E30" s="601"/>
      <c r="F30" s="601"/>
      <c r="G30" s="601"/>
      <c r="H30" s="601"/>
      <c r="I30" s="601"/>
      <c r="J30" s="601"/>
      <c r="K30" s="601"/>
      <c r="L30" s="601"/>
      <c r="M30" s="601"/>
      <c r="N30" s="169"/>
      <c r="O30" s="169"/>
    </row>
    <row r="31" spans="1:15" ht="19.5" hidden="1" customHeight="1">
      <c r="B31" s="601" t="str">
        <f>"工厂支付的最低基本工资是每月"&amp;MIN(D27:D29)&amp;"元，"&amp;IF(MIN(D27:D29)=B23,"等于","高于")&amp;"法定最低工资标准。"</f>
        <v>工厂支付的最低基本工资是每月3000元，高于法定最低工资标准。</v>
      </c>
      <c r="C31" s="601"/>
      <c r="D31" s="601"/>
      <c r="E31" s="601"/>
      <c r="F31" s="601"/>
      <c r="G31" s="601"/>
      <c r="H31" s="601"/>
      <c r="I31" s="601"/>
      <c r="J31" s="601"/>
      <c r="K31" s="601"/>
      <c r="L31" s="601"/>
      <c r="M31" s="601"/>
      <c r="N31" s="168"/>
      <c r="O31" s="168"/>
    </row>
    <row r="32" spans="1:15" ht="21.75" customHeight="1">
      <c r="B32" s="182" t="s">
        <v>1034</v>
      </c>
      <c r="C32" s="182" t="s">
        <v>1315</v>
      </c>
      <c r="D32" s="182" t="s">
        <v>1033</v>
      </c>
      <c r="E32" s="182" t="s">
        <v>1327</v>
      </c>
      <c r="G32" s="182" t="s">
        <v>1317</v>
      </c>
      <c r="H32" s="182" t="s">
        <v>1316</v>
      </c>
      <c r="I32" s="182" t="s">
        <v>1341</v>
      </c>
      <c r="J32" s="182" t="s">
        <v>1666</v>
      </c>
      <c r="K32" s="186">
        <v>3100</v>
      </c>
      <c r="L32" s="182" t="s">
        <v>1588</v>
      </c>
      <c r="N32" s="168"/>
      <c r="O32" s="168"/>
    </row>
    <row r="33" spans="1:15" ht="21.75" customHeight="1">
      <c r="B33" s="190" t="s">
        <v>1493</v>
      </c>
      <c r="C33" s="190">
        <v>30</v>
      </c>
      <c r="D33" s="183" t="s">
        <v>1457</v>
      </c>
      <c r="E33" s="215" t="b">
        <v>1</v>
      </c>
      <c r="G33" s="171" t="b">
        <v>1</v>
      </c>
      <c r="H33" s="171" t="b">
        <v>1</v>
      </c>
      <c r="I33" s="214" t="b">
        <v>0</v>
      </c>
      <c r="J33" s="604"/>
      <c r="K33" s="605"/>
      <c r="L33" s="1" t="b">
        <v>1</v>
      </c>
      <c r="N33" s="168"/>
      <c r="O33" s="168"/>
    </row>
    <row r="34" spans="1:15" ht="22.5" hidden="1" customHeight="1">
      <c r="A34" s="197"/>
      <c r="G34" s="275"/>
      <c r="H34" s="275"/>
      <c r="I34" s="275">
        <v>5</v>
      </c>
      <c r="J34" s="606"/>
      <c r="K34" s="606"/>
      <c r="L34" s="275"/>
      <c r="M34" s="275"/>
      <c r="N34" s="275"/>
      <c r="O34" s="168"/>
    </row>
    <row r="35" spans="1:15" ht="83" customHeight="1">
      <c r="A35" s="563" t="s">
        <v>1314</v>
      </c>
      <c r="B35" s="561" t="str">
        <f>B24&amp;B30&amp;"Wages were calculated on "&amp;B33&amp;" basis and were paid "&amp;"by the "&amp;C33&amp;"th day"&amp;" of the following month. "&amp;IF(E33=TRUE,"Payroll records included mandatory items such as payment date, overtime premium, workers signature. ", "")&amp;IF(G33=TRUE, "Pay slip was given to each worker every month.", "")&amp;IF(H33=TRUE, " Wages were paid on time, there was no delay payment history. ", "")&amp;IF(L33=TRUE, "Workers could be entitled with paid annual leave benefits. ","")&amp;IF(AND(F39&gt;=100%,G39&gt;=100%,H39&gt;=100%,I39&gt;=100%,J39&gt;=100%),_xlfn.CONCAT("&lt;br&gt;",B43,B45,B47),"")</f>
        <v xml:space="preserve">The legal minimum wage standard was CNY2500 per month or CNY14.37 per hour since 03/2025. Payroll records were provided for review. The factory paid a lowest basic wage of CNY 3000 per month, which was higher than the legal minimum wage standard. Wages were calculated on hourly basis and were paid by the 30th day of the following month. Payroll records included mandatory items such as payment date, overtime premium, workers signature. Pay slip was given to each worker every month. Wages were paid on time, there was no delay payment history. Workers could be entitled with paid annual leave benefits. </v>
      </c>
      <c r="C35" s="562"/>
      <c r="D35" s="562"/>
      <c r="E35" s="562"/>
      <c r="F35" s="562"/>
      <c r="G35" s="562"/>
      <c r="H35" s="562"/>
      <c r="I35" s="562"/>
      <c r="J35" s="562"/>
      <c r="K35" s="562"/>
      <c r="L35" s="562"/>
      <c r="M35" s="562"/>
      <c r="N35" s="168"/>
      <c r="O35" s="168"/>
    </row>
    <row r="36" spans="1:15" ht="57.75" hidden="1" customHeight="1">
      <c r="A36" s="563"/>
      <c r="B36" s="612" t="str">
        <f>B25&amp;B31&amp;"工资以"&amp;B34&amp;"计算，"&amp;"下月"&amp;C33&amp;"号之前发放；"&amp;IF(E33=TRUE,"工资表列明了必备项目例如支付日期，加班费，员工签名等。","")&amp;IF(G33=TRUE,"每月都会发放工资条给员工。","")&amp;IF(H33=TRUE,"工资准时发放，没有迟发工资的记录。","")&amp;IF(L33=TRUE, "员工享有带薪年休假的福利。","")&amp;IF(AND(F39&gt;=100%,G39&gt;=100%,H39&gt;=100%,I39&gt;=100%,J39&gt;=100%),_xlfn.CONCAT("&lt;br&gt;",B44,B46,B48),"")</f>
        <v>从03/2025起，当地最低工资标准是每月2500元或者每小时14.37元。工资表被提供给了审核。工厂支付的最低基本工资是每月3000元，高于法定最低工资标准。工资以计算，下月30号之前发放；工资表列明了必备项目例如支付日期，加班费，员工签名等。每月都会发放工资条给员工。工资准时发放，没有迟发工资的记录。员工享有带薪年休假的福利。</v>
      </c>
      <c r="C36" s="571"/>
      <c r="D36" s="571"/>
      <c r="E36" s="571"/>
      <c r="F36" s="571"/>
      <c r="G36" s="571"/>
      <c r="H36" s="571"/>
      <c r="I36" s="571"/>
      <c r="J36" s="571"/>
      <c r="K36" s="571"/>
      <c r="L36" s="571"/>
      <c r="M36" s="571"/>
      <c r="N36" s="168"/>
      <c r="O36" s="168"/>
    </row>
    <row r="37" spans="1:15" ht="21.75" customHeight="1">
      <c r="A37" s="173"/>
      <c r="B37" s="184" t="s">
        <v>1043</v>
      </c>
      <c r="C37" s="184" t="s">
        <v>1035</v>
      </c>
      <c r="D37" s="184" t="s">
        <v>1036</v>
      </c>
      <c r="E37" s="184" t="s">
        <v>1037</v>
      </c>
      <c r="F37" s="184" t="s">
        <v>1038</v>
      </c>
      <c r="G37" s="184" t="s">
        <v>1040</v>
      </c>
      <c r="H37" s="184" t="s">
        <v>1039</v>
      </c>
      <c r="I37" s="184" t="s">
        <v>1042</v>
      </c>
      <c r="J37" s="184" t="s">
        <v>1041</v>
      </c>
      <c r="K37" s="216"/>
      <c r="L37" s="216"/>
      <c r="M37" s="216"/>
    </row>
    <row r="38" spans="1:15" ht="21.75" customHeight="1">
      <c r="A38" s="173"/>
      <c r="B38" s="607" t="s">
        <v>1840</v>
      </c>
      <c r="C38" s="609">
        <f>'DE Employment Structure'!E36</f>
        <v>39</v>
      </c>
      <c r="D38" s="609">
        <f>'DE Employment Structure'!F56</f>
        <v>0</v>
      </c>
      <c r="E38" s="590">
        <f>C38-D38</f>
        <v>39</v>
      </c>
      <c r="F38" s="186">
        <v>16</v>
      </c>
      <c r="G38" s="186">
        <v>16</v>
      </c>
      <c r="H38" s="186">
        <v>16</v>
      </c>
      <c r="I38" s="186">
        <v>16</v>
      </c>
      <c r="J38" s="186">
        <v>16</v>
      </c>
      <c r="K38" s="216"/>
      <c r="L38" s="216"/>
      <c r="M38" s="216"/>
    </row>
    <row r="39" spans="1:15" ht="21.75" customHeight="1">
      <c r="A39" s="173"/>
      <c r="B39" s="608"/>
      <c r="C39" s="610"/>
      <c r="D39" s="610"/>
      <c r="E39" s="613"/>
      <c r="F39" s="189">
        <f>F38/E38</f>
        <v>0.41025641025641024</v>
      </c>
      <c r="G39" s="189">
        <f>G38/E38</f>
        <v>0.41025641025641024</v>
      </c>
      <c r="H39" s="189">
        <f>H38/E38</f>
        <v>0.41025641025641024</v>
      </c>
      <c r="I39" s="189">
        <f>I38/E38</f>
        <v>0.41025641025641024</v>
      </c>
      <c r="J39" s="189">
        <f>J38/E38</f>
        <v>0.41025641025641024</v>
      </c>
      <c r="K39" s="216"/>
      <c r="L39" s="216"/>
      <c r="M39" s="216"/>
    </row>
    <row r="40" spans="1:15" ht="5.25" customHeight="1">
      <c r="A40" s="173"/>
      <c r="B40" s="216"/>
      <c r="C40" s="216"/>
      <c r="D40" s="216"/>
      <c r="E40" s="216"/>
      <c r="F40" s="216"/>
      <c r="G40" s="216"/>
      <c r="H40" s="216"/>
      <c r="I40" s="216"/>
      <c r="J40" s="216"/>
      <c r="K40" s="216"/>
      <c r="L40" s="216"/>
      <c r="M40" s="216"/>
      <c r="N40" s="216"/>
      <c r="O40" s="203"/>
    </row>
    <row r="41" spans="1:15" ht="21.75" customHeight="1">
      <c r="A41" s="173"/>
      <c r="B41" s="592" t="s">
        <v>1044</v>
      </c>
      <c r="C41" s="593"/>
      <c r="D41" s="216"/>
      <c r="E41" s="184" t="s">
        <v>1689</v>
      </c>
      <c r="F41" s="220" t="s">
        <v>1045</v>
      </c>
      <c r="G41" s="216"/>
      <c r="H41" s="216"/>
      <c r="I41" s="216"/>
      <c r="J41" s="216"/>
      <c r="K41" s="216"/>
      <c r="L41" s="216"/>
      <c r="M41" s="216"/>
      <c r="N41" s="216"/>
      <c r="O41" s="203"/>
    </row>
    <row r="42" spans="1:15" ht="21.75" customHeight="1">
      <c r="A42" s="173"/>
      <c r="B42" s="218" t="b">
        <v>1</v>
      </c>
      <c r="C42" s="186">
        <v>40</v>
      </c>
      <c r="D42" s="216"/>
      <c r="E42" s="217" t="s">
        <v>1843</v>
      </c>
      <c r="F42" s="219">
        <f>(J38+C42)/C38</f>
        <v>1.4358974358974359</v>
      </c>
      <c r="G42" s="216"/>
      <c r="H42" s="216"/>
      <c r="I42" s="216"/>
      <c r="J42" s="216"/>
      <c r="K42" s="216"/>
      <c r="L42" s="216"/>
      <c r="M42" s="216"/>
      <c r="N42" s="216"/>
      <c r="O42" s="203"/>
    </row>
    <row r="43" spans="1:15" ht="15" customHeight="1">
      <c r="A43" s="173"/>
      <c r="B43" s="600" t="str">
        <f>IF(AND(F39&gt;=100%,G39&gt;=100%,H39&gt;=100%,I39&gt;=100%,J39&gt;=100%),"The social insurance coverage ratio is 100%. ","Based on personnel interview, site observation, and document review, it was noted that the social insurance participants were not sufficient. "&amp;CHAR(10))</f>
        <v xml:space="preserve">Based on personnel interview, site observation, and document review, it was noted that the social insurance participants were not sufficient. 
</v>
      </c>
      <c r="C43" s="601"/>
      <c r="D43" s="601"/>
      <c r="E43" s="601"/>
      <c r="F43" s="594"/>
      <c r="G43" s="594"/>
      <c r="H43" s="594"/>
      <c r="I43" s="594"/>
      <c r="J43" s="594"/>
      <c r="K43" s="594"/>
      <c r="L43" s="594"/>
      <c r="M43" s="594"/>
      <c r="N43" s="168"/>
      <c r="O43" s="168"/>
    </row>
    <row r="44" spans="1:15" ht="15" customHeight="1">
      <c r="A44" s="173"/>
      <c r="B44" s="561" t="str">
        <f>IF(AND(F39&gt;=100%,G39&gt;=100%,H39&gt;=100%,I39&gt;=100%,J39&gt;=100%),"社保参保比例是100%. ","根据人员访谈，现场观察和文件查阅，发现社保参保人数不足。"&amp;CHAR(10))</f>
        <v xml:space="preserve">根据人员访谈，现场观察和文件查阅，发现社保参保人数不足。
</v>
      </c>
      <c r="C44" s="562"/>
      <c r="D44" s="562"/>
      <c r="E44" s="562"/>
      <c r="F44" s="562"/>
      <c r="G44" s="562"/>
      <c r="H44" s="562"/>
      <c r="I44" s="562"/>
      <c r="J44" s="562"/>
      <c r="K44" s="562"/>
      <c r="L44" s="562"/>
      <c r="M44" s="562"/>
      <c r="N44" s="168"/>
      <c r="O44" s="168"/>
    </row>
    <row r="45" spans="1:15" ht="76.5" hidden="1" customHeight="1">
      <c r="A45" s="173"/>
      <c r="B45" s="561" t="str">
        <f>_xlfn.CONCAT("According to social insurance records of "&amp;B38&amp;", "&amp;"there were total "&amp;C38&amp;" workers in that month, among whom "&amp;E38&amp;" workers (total number subtract "&amp;D38&amp;" retired workers) were eligible to participate in social insurance, and the actual participation number and ratio was listed as below: "&amp;"Pension insurance: "&amp;F38&amp;" ("&amp;TEXT(F39,"0.00%")&amp;")"&amp;", "&amp;"Unemployment insurance: "&amp;G38&amp;" ("&amp;TEXT(G39,"0.00%")&amp;")"&amp;", "&amp;"Medical insurance: "&amp;H38&amp;" ("&amp;TEXT(H39,"0.00%")&amp;")"&amp;", "&amp;"Maternity insurance: "&amp;I38&amp;" ("&amp;TEXT(I39,"0.00%")&amp;")"&amp;", "&amp;"Injury insurance: "&amp;J38&amp;" ("&amp;TEXT(J39,"0.00%")&amp;")"&amp;". ")&amp;CHAR(10)&amp;"There was no temporary, dispatched or newly joined worker. Some workers had no willingness to participate in social insurance. There was no government waiver. "</f>
        <v xml:space="preserve">According to social insurance records of 04/2025, there were total 39 workers in that month, among whom 39 workers (total number subtract 0 retired workers) were eligible to participate in social insurance, and the actual participation number and ratio was listed as below: Pension insurance: 16 (41.03%), Unemployment insurance: 16 (41.03%), Medical insurance: 16 (41.03%), Maternity insurance: 16 (41.03%), Injury insurance: 16 (41.03%). 
There was no temporary, dispatched or newly joined worker. Some workers had no willingness to participate in social insurance. There was no government waiver. </v>
      </c>
      <c r="C45" s="562"/>
      <c r="D45" s="562"/>
      <c r="E45" s="562"/>
      <c r="F45" s="562"/>
      <c r="G45" s="562"/>
      <c r="H45" s="562"/>
      <c r="I45" s="562"/>
      <c r="J45" s="562"/>
      <c r="K45" s="562"/>
      <c r="L45" s="562"/>
      <c r="M45" s="562"/>
      <c r="N45" s="168"/>
      <c r="O45" s="168"/>
    </row>
    <row r="46" spans="1:15" ht="41.25" hidden="1" customHeight="1">
      <c r="A46" s="173"/>
      <c r="B46" s="561" t="str">
        <f>_xlfn.CONCAT("根据"&amp;B38&amp;"社保记录，当月有"&amp;C38&amp;"名员工，其中 "&amp;E38&amp;" 名员工 (总人数减去退休"&amp;D38&amp;"人) 应当参加社会保险，实际的参保人数和比例如下："&amp;"养老保险:"&amp;F38&amp;" ("&amp;TEXT(F39,"0.00%")&amp;")"&amp;", "&amp;"失业保险:"&amp;G38&amp;" ("&amp;TEXT(G39,"0.00%")&amp;")"&amp;"，"&amp;"医疗保险:"&amp;H38&amp;" ("&amp;TEXT(H39,"0.00%")&amp;")"&amp;"，"&amp;"生育保险:"&amp;I38&amp;" ("&amp;TEXT(I39,"0.00%")&amp;")"&amp;"，"&amp;"工伤保险:"&amp;J38&amp;" ("&amp;TEXT(J39,"0.00%")&amp;")"&amp;"。")&amp;CHAR(10)&amp;"没有临时工、派遣工和新入职人员；部分工人不愿意参与社保，没有政府豁免文件。"</f>
        <v>根据04/2025社保记录，当月有39名员工，其中 39 名员工 (总人数减去退休0人) 应当参加社会保险，实际的参保人数和比例如下：养老保险:16 (41.03%), 失业保险:16 (41.03%)，医疗保险:16 (41.03%)，生育保险:16 (41.03%)，工伤保险:16 (41.03%)。
没有临时工、派遣工和新入职人员；部分工人不愿意参与社保，没有政府豁免文件。</v>
      </c>
      <c r="C46" s="562"/>
      <c r="D46" s="562"/>
      <c r="E46" s="562"/>
      <c r="F46" s="562"/>
      <c r="G46" s="562"/>
      <c r="H46" s="562"/>
      <c r="I46" s="562"/>
      <c r="J46" s="562"/>
      <c r="K46" s="562"/>
      <c r="L46" s="562"/>
      <c r="M46" s="562"/>
      <c r="N46" s="168"/>
      <c r="O46" s="168"/>
    </row>
    <row r="47" spans="1:15" ht="24" hidden="1" customHeight="1">
      <c r="A47" s="173"/>
      <c r="B47" s="561" t="str">
        <f>IF(B42=TRUE, _xlfn.CONCAT("The factory also purchased group commercial injury insurance for "&amp;C42&amp;" workers with a valid period to "&amp;E42&amp;"."&amp;IF(F42&gt;=100%," Therefore, all workers were covered by injury insurance."," However, the injury insurance still did not cover all workers.")),"There was no commercial injury insurance.")</f>
        <v>The factory also purchased group commercial injury insurance for 40 workers with a valid period to 31/12/2025. Therefore, all workers were covered by injury insurance.</v>
      </c>
      <c r="C47" s="562"/>
      <c r="D47" s="562"/>
      <c r="E47" s="562"/>
      <c r="F47" s="562"/>
      <c r="G47" s="562"/>
      <c r="H47" s="562"/>
      <c r="I47" s="562"/>
      <c r="J47" s="562"/>
      <c r="K47" s="562"/>
      <c r="L47" s="562"/>
      <c r="M47" s="562"/>
      <c r="N47" s="168"/>
      <c r="O47" s="168"/>
    </row>
    <row r="48" spans="1:15" ht="19.5" hidden="1" customHeight="1">
      <c r="A48" s="173"/>
      <c r="B48" s="561" t="str">
        <f>IF(B42=TRUE, _xlfn.CONCAT("工厂为"&amp;C42&amp;"名员工购买了商业团体意外险，有效期到"&amp;E42&amp;"，"&amp;IF(F42&gt;=100%,"因此所有人被工伤保险覆盖。","但是工伤保险仍然没有覆盖全员。")),"没有提供商业工伤保险。")</f>
        <v>工厂为40名员工购买了商业团体意外险，有效期到31/12/2025，因此所有人被工伤保险覆盖。</v>
      </c>
      <c r="C48" s="562"/>
      <c r="D48" s="562"/>
      <c r="E48" s="562"/>
      <c r="F48" s="562"/>
      <c r="G48" s="562"/>
      <c r="H48" s="562"/>
      <c r="I48" s="562"/>
      <c r="J48" s="562"/>
      <c r="K48" s="562"/>
      <c r="L48" s="562"/>
      <c r="M48" s="562"/>
      <c r="N48" s="168"/>
      <c r="O48" s="168"/>
    </row>
    <row r="49" spans="1:13" ht="88.5" hidden="1" customHeight="1">
      <c r="A49" s="174" t="s">
        <v>1313</v>
      </c>
      <c r="B49" s="561" t="str">
        <f>IF(AND(F39&gt;=100%,G39&gt;=100%,H39&gt;=100%,I39&gt;=100%,J39&gt;=100%), B43&amp;B45, _xlfn.CONCAT(B43,B45,B47)&amp;CHAR(10)&amp;Reference!B66)</f>
        <v>Based on personnel interview, site observation, and document review, it was noted that the social insurance participants were not sufficient. 
According to social insurance records of 04/2025, there were total 39 workers in that month, among whom 39 workers (total number subtract 0 retired workers) were eligible to participate in social insurance, and the actual participation number and ratio was listed as below: Pension insurance: 16 (41.03%), Unemployment insurance: 16 (41.03%), Medical insurance: 16 (41.03%), Maternity insurance: 16 (41.03%), Injury insurance: 16 (41.03%). 
There was no temporary, dispatched or newly joined worker. Some workers had no willingness to participate in social insurance. There was no government waiver. The factory also purchased group commercial injury insurance for 40 workers with a valid period to 31/12/2025. Therefore, all workers were covered by injury insurance.
This violates the requirements of PRC Labor Act, Article 72 and 73. According to above mentioned proportion of insurance participants, this question is rated as No.</v>
      </c>
      <c r="C49" s="562"/>
      <c r="D49" s="562"/>
      <c r="E49" s="562"/>
      <c r="F49" s="562"/>
      <c r="G49" s="562"/>
      <c r="H49" s="562"/>
      <c r="I49" s="562"/>
      <c r="J49" s="562"/>
      <c r="K49" s="562"/>
      <c r="L49" s="562"/>
      <c r="M49" s="562"/>
    </row>
    <row r="50" spans="1:13" ht="78" hidden="1" customHeight="1">
      <c r="A50" s="12"/>
      <c r="B50" s="561" t="str">
        <f>IF(AND(F43&gt;=100%,G43&gt;=100%,H43=100%,I43&gt;=100%,J43&gt;=100%), B44&amp;B46,_xlfn.CONCAT(B44,B46,B48)&amp;CHAR(10)&amp;Reference!B67)</f>
        <v>根据人员访谈，现场观察和文件查阅，发现社保参保人数不足。
根据04/2025社保记录，当月有39名员工，其中 39 名员工 (总人数减去退休0人) 应当参加社会保险，实际的参保人数和比例如下：养老保险:16 (41.03%), 失业保险:16 (41.03%)，医疗保险:16 (41.03%)，生育保险:16 (41.03%)，工伤保险:16 (41.03%)。
没有临时工、派遣工和新入职人员；部分工人不愿意参与社保，没有政府豁免文件。工厂为40名员工购买了商业团体意外险，有效期到31/12/2025，因此所有人被工伤保险覆盖。
这违反了《劳动法》第72和73条的要求。根据上述参保人数的比例，此问题点被评分为不符合。</v>
      </c>
      <c r="C50" s="562"/>
      <c r="D50" s="562"/>
      <c r="E50" s="562"/>
      <c r="F50" s="562"/>
      <c r="G50" s="562"/>
      <c r="H50" s="562"/>
      <c r="I50" s="562"/>
      <c r="J50" s="562"/>
      <c r="K50" s="562"/>
      <c r="L50" s="562"/>
      <c r="M50" s="562"/>
    </row>
    <row r="51" spans="1:13" ht="23.25" customHeight="1">
      <c r="B51" s="602" t="s">
        <v>999</v>
      </c>
      <c r="C51" s="603"/>
      <c r="D51" s="186" t="s">
        <v>994</v>
      </c>
      <c r="E51" s="186" t="s">
        <v>1844</v>
      </c>
      <c r="F51" s="186">
        <v>2</v>
      </c>
      <c r="G51" s="186">
        <v>8</v>
      </c>
      <c r="K51" s="5" t="b">
        <v>1</v>
      </c>
      <c r="L51" s="5"/>
    </row>
    <row r="52" spans="1:13" ht="36.75" customHeight="1">
      <c r="C52" s="562" t="str">
        <f>"The regular shift was "&amp;D51&amp;", "&amp;E51&amp;". "&amp;"Workers voluntarily worked overtime for up to "&amp;F51&amp;" hours on weekdays and for up to "&amp;G51&amp;" hours a day on weekends if production required."</f>
        <v>The regular shift was 8:00-12:00, 13:30-17:30. Workers voluntarily worked overtime for up to 2 hours on weekdays and for up to 8 hours a day on weekends if production required.</v>
      </c>
      <c r="D52" s="562"/>
      <c r="E52" s="562"/>
      <c r="F52" s="562"/>
      <c r="G52" s="556" t="str">
        <f>"常规工作时间是 "&amp;D51&amp;", "&amp;E51&amp;". "&amp;"在生产需要时，工人会在工作日自愿加班至多"&amp;F51&amp;" 小时，在周末自愿加班至多"&amp;G51&amp;"小时。"</f>
        <v>常规工作时间是 8:00-12:00, 13:30-17:30. 在生产需要时，工人会在工作日自愿加班至多2 小时，在周末自愿加班至多8小时。</v>
      </c>
      <c r="H52" s="556"/>
      <c r="I52" s="556"/>
      <c r="J52" s="556"/>
      <c r="K52" s="5"/>
      <c r="L52" s="5"/>
    </row>
    <row r="53" spans="1:13" ht="23.25" customHeight="1">
      <c r="B53" s="182" t="s">
        <v>996</v>
      </c>
      <c r="C53" s="186" t="s">
        <v>1321</v>
      </c>
      <c r="D53" s="186" t="s">
        <v>995</v>
      </c>
      <c r="E53" s="186" t="s">
        <v>1558</v>
      </c>
      <c r="G53" s="562"/>
      <c r="H53" s="562"/>
      <c r="I53" s="562"/>
      <c r="J53" s="562"/>
      <c r="K53" s="5" t="b">
        <v>0</v>
      </c>
      <c r="L53" s="5"/>
    </row>
    <row r="54" spans="1:13" ht="15.75" customHeight="1">
      <c r="C54" s="571" t="str">
        <f>IF(K53=TRUE,(_xlfn.CONCAT(" "&amp;C53&amp;" "&amp;IF(ISNUMBER(SEARCH("and",C53)),"have","has")&amp;" two shifts: "&amp;D53&amp;", "&amp;E53&amp;". ")),"")</f>
        <v/>
      </c>
      <c r="D54" s="571"/>
      <c r="E54" s="571"/>
      <c r="F54" s="571"/>
      <c r="G54" s="556" t="str">
        <f>IF(K53=TRUE,(_xlfn.CONCAT(_xlfn.FILTERXML(_xlfn.WEBSERVICE("http://fanyi.youdao.com/translate?&amp;i="&amp;C53&amp;"&amp;doctype=xml&amp;version"),"//translation")&amp;"有2个班次: "&amp;D53&amp;", "&amp;E53&amp;". ")),"")</f>
        <v/>
      </c>
      <c r="H54" s="556"/>
      <c r="I54" s="556"/>
      <c r="J54" s="556"/>
      <c r="K54" s="5"/>
      <c r="L54" s="5"/>
    </row>
    <row r="55" spans="1:13" ht="23.25" customHeight="1">
      <c r="B55" s="182" t="s">
        <v>997</v>
      </c>
      <c r="C55" s="186" t="s">
        <v>1754</v>
      </c>
      <c r="D55" s="186" t="s">
        <v>995</v>
      </c>
      <c r="E55" s="186" t="s">
        <v>1558</v>
      </c>
      <c r="F55" s="186" t="s">
        <v>998</v>
      </c>
      <c r="G55" s="168"/>
      <c r="H55" s="168"/>
      <c r="I55" s="168"/>
      <c r="J55" s="168"/>
      <c r="K55" s="5" t="b">
        <v>0</v>
      </c>
    </row>
    <row r="56" spans="1:13" ht="13.5" customHeight="1">
      <c r="C56" s="594" t="str">
        <f>IF(K55=TRUE,(_xlfn.CONCAT(" "&amp;C55&amp;" "&amp;IF(ISNUMBER(SEARCH("and",C55)),"have","has")&amp;" three shifts: "&amp;D55&amp;", "&amp;E55&amp;", "&amp;F55&amp;". ")),"")</f>
        <v/>
      </c>
      <c r="D56" s="594"/>
      <c r="E56" s="594"/>
      <c r="F56" s="594"/>
      <c r="G56" s="556" t="str">
        <f>IF(K55=TRUE,(_xlfn.CONCAT(_xlfn.FILTERXML(_xlfn.WEBSERVICE("http://fanyi.youdao.com/translate?&amp;i="&amp;C55&amp;"&amp;doctype=xml&amp;version"),"//translation")&amp;"有三个班次: "&amp;D55&amp;", "&amp;E55&amp;", "&amp;F55&amp;"。")),"")</f>
        <v/>
      </c>
      <c r="H56" s="556"/>
      <c r="I56" s="556"/>
      <c r="J56" s="556"/>
      <c r="K56" s="5"/>
      <c r="L56" s="5"/>
    </row>
    <row r="57" spans="1:13" ht="25.5" hidden="1" customHeight="1">
      <c r="B57" s="182" t="s">
        <v>1000</v>
      </c>
      <c r="C57" s="564" t="s">
        <v>1657</v>
      </c>
      <c r="D57" s="565"/>
      <c r="E57" s="557" t="e">
        <f>_xlfn.FILTERXML(_xlfn.WEBSERVICE("http://fanyi.youdao.com/translate?&amp;i="&amp;C57&amp;"&amp;doctype=xml&amp;version"),"//translation")</f>
        <v>#VALUE!</v>
      </c>
      <c r="F57" s="558"/>
      <c r="G57" s="168"/>
      <c r="H57" s="5"/>
      <c r="I57" s="168"/>
      <c r="J57" s="168"/>
      <c r="K57" s="5"/>
      <c r="L57" s="5"/>
    </row>
    <row r="58" spans="1:13" ht="28.5" customHeight="1">
      <c r="B58" s="182" t="s">
        <v>1002</v>
      </c>
      <c r="C58" s="182" t="s">
        <v>1003</v>
      </c>
      <c r="D58" s="182" t="s">
        <v>1001</v>
      </c>
      <c r="E58" s="182" t="s">
        <v>1024</v>
      </c>
      <c r="F58" s="182" t="s">
        <v>1025</v>
      </c>
      <c r="G58" s="182" t="s">
        <v>1004</v>
      </c>
      <c r="H58" s="182" t="s">
        <v>1005</v>
      </c>
      <c r="I58" s="182" t="s">
        <v>1023</v>
      </c>
      <c r="J58" s="182" t="s">
        <v>1008</v>
      </c>
      <c r="K58" s="182" t="s">
        <v>1007</v>
      </c>
      <c r="L58" s="182" t="s">
        <v>1006</v>
      </c>
      <c r="M58" s="175"/>
    </row>
    <row r="59" spans="1:13" ht="15.5">
      <c r="A59" s="202"/>
      <c r="B59" s="182" t="str">
        <f t="shared" ref="B59:C61" si="6">B27</f>
        <v>04/2025</v>
      </c>
      <c r="C59" s="182">
        <f t="shared" si="6"/>
        <v>6</v>
      </c>
      <c r="D59" s="186">
        <v>6</v>
      </c>
      <c r="E59" s="186">
        <v>48</v>
      </c>
      <c r="F59" s="186">
        <v>50</v>
      </c>
      <c r="G59" s="186">
        <v>2</v>
      </c>
      <c r="H59" s="186">
        <v>60</v>
      </c>
      <c r="I59" s="186">
        <v>6</v>
      </c>
      <c r="J59" s="201">
        <v>0.89583333333333337</v>
      </c>
      <c r="K59" s="201">
        <v>0.25</v>
      </c>
      <c r="L59" s="200" t="str">
        <f>TEXT((K59+12)-J59,"h:m")</f>
        <v>8:30</v>
      </c>
      <c r="M59" s="175"/>
    </row>
    <row r="60" spans="1:13" ht="15.5">
      <c r="B60" s="182" t="str">
        <f t="shared" si="6"/>
        <v>01/2025</v>
      </c>
      <c r="C60" s="182">
        <f t="shared" si="6"/>
        <v>6</v>
      </c>
      <c r="D60" s="186">
        <v>5</v>
      </c>
      <c r="E60" s="186">
        <v>38</v>
      </c>
      <c r="F60" s="186">
        <v>38</v>
      </c>
      <c r="G60" s="186">
        <v>2</v>
      </c>
      <c r="H60" s="186">
        <v>60</v>
      </c>
      <c r="I60" s="186">
        <v>6</v>
      </c>
      <c r="J60" s="201">
        <v>0.875</v>
      </c>
      <c r="K60" s="201">
        <v>0.33333333333333331</v>
      </c>
      <c r="L60" s="200" t="str">
        <f t="shared" ref="L60:L61" si="7">TEXT((K60+12)-J60,"h:m")</f>
        <v>11:0</v>
      </c>
      <c r="M60" s="175"/>
    </row>
    <row r="61" spans="1:13" ht="15.5">
      <c r="B61" s="182" t="str">
        <f t="shared" si="6"/>
        <v>11/2024</v>
      </c>
      <c r="C61" s="182">
        <f t="shared" si="6"/>
        <v>6</v>
      </c>
      <c r="D61" s="186">
        <v>6</v>
      </c>
      <c r="E61" s="186">
        <v>40</v>
      </c>
      <c r="F61" s="186">
        <v>62</v>
      </c>
      <c r="G61" s="186">
        <v>2</v>
      </c>
      <c r="H61" s="186">
        <v>60</v>
      </c>
      <c r="I61" s="186">
        <v>6</v>
      </c>
      <c r="J61" s="201">
        <v>0.83333333333333337</v>
      </c>
      <c r="K61" s="201">
        <v>0.33333333333333331</v>
      </c>
      <c r="L61" s="200" t="str">
        <f t="shared" si="7"/>
        <v>12:0</v>
      </c>
      <c r="M61" s="175"/>
    </row>
    <row r="62" spans="1:13" ht="12" customHeight="1">
      <c r="B62" s="13"/>
      <c r="C62" s="13"/>
      <c r="D62" s="13"/>
      <c r="E62" s="595">
        <f>MAX(F59:F61)</f>
        <v>62</v>
      </c>
      <c r="F62" s="596"/>
      <c r="G62" s="182"/>
      <c r="H62" s="182"/>
      <c r="I62" s="574">
        <f>MAX(I59:I61)</f>
        <v>6</v>
      </c>
      <c r="L62" s="572"/>
    </row>
    <row r="63" spans="1:13" ht="15.5">
      <c r="B63" s="13"/>
      <c r="C63" s="13"/>
      <c r="D63" s="186">
        <v>5</v>
      </c>
      <c r="E63" s="597"/>
      <c r="F63" s="598"/>
      <c r="G63" s="193">
        <v>2</v>
      </c>
      <c r="H63" s="193">
        <v>56</v>
      </c>
      <c r="I63" s="575"/>
      <c r="L63" s="573"/>
    </row>
    <row r="64" spans="1:13" ht="15.75" customHeight="1">
      <c r="B64" s="599" t="s">
        <v>1009</v>
      </c>
      <c r="C64" s="562" t="str">
        <f>_xlfn.CONCAT("The auditor selected "&amp;C59&amp;" samples from "&amp;B59&amp;" (last paid month), "&amp;C60&amp;" samples from "&amp;B60&amp;" (random month), "&amp;C61&amp;" samples from "&amp;B61&amp;" (random month). ")</f>
        <v xml:space="preserve">The auditor selected 6 samples from 04/2025 (last paid month), 6 samples from 01/2025 (random month), 6 samples from 11/2024 (random month). </v>
      </c>
      <c r="D64" s="562"/>
      <c r="E64" s="562"/>
      <c r="F64" s="562"/>
      <c r="G64" s="562"/>
      <c r="H64" s="562"/>
      <c r="I64" s="562"/>
      <c r="J64" s="562"/>
      <c r="K64" s="562"/>
      <c r="L64" s="562"/>
      <c r="M64" s="562"/>
    </row>
    <row r="65" spans="1:13" ht="15.75" customHeight="1">
      <c r="B65" s="599"/>
      <c r="C65" s="562" t="str">
        <f>"审核员从"&amp;B59&amp;"（最近发薪月）抽样"&amp;C59&amp;"人，"&amp;"从"&amp;B60&amp;"（随机抽选月）抽样"&amp;C60&amp;"人，"&amp;"从"&amp;B61&amp;"（随机抽选月）抽样"&amp;C61&amp;"人。"</f>
        <v>审核员从04/2025（最近发薪月）抽样6人，从01/2025（随机抽选月）抽样6人，从11/2024（随机抽选月）抽样6人。</v>
      </c>
      <c r="D65" s="562"/>
      <c r="E65" s="562"/>
      <c r="F65" s="562"/>
      <c r="G65" s="562"/>
      <c r="H65" s="562"/>
      <c r="I65" s="562"/>
      <c r="J65" s="562"/>
      <c r="K65" s="562"/>
      <c r="L65" s="562"/>
      <c r="M65" s="562"/>
    </row>
    <row r="66" spans="1:13" ht="140" customHeight="1">
      <c r="A66" s="563" t="s">
        <v>1309</v>
      </c>
      <c r="B66" s="561" t="str">
        <f>_xlfn.CONCAT(C52,C54,C56)&amp;IF(MAX(I59:I61)&lt;7," The most consecutive working days were 6 days, which make sure workers can get at least one day off per 7-day period. ","")&amp;"Overtime on working days and off days would be paid 1.5 times and 2 times of normal wages respectively as overtime premium. "&amp;C27&amp;" workers' attendance records were sampled for review."&amp;CHAR(10)&amp;B27&amp;" (last paid month) – standard weekly working hours (40) + maximum weekly OT (18), "&amp;CHAR(10)&amp;B28&amp;" (random month) – standard weekly working hours (40) + maximum weekly OT (18),"&amp;CHAR(10)&amp;B29&amp;" (random month) – standard weekly working hours (40) + maximum weekly OT (18)."</f>
        <v>The regular shift was 8:00-12:00, 13:30-17:30. Workers voluntarily worked overtime for up to 2 hours on weekdays and for up to 8 hours a day on weekends if production required. The most consecutive working days were 6 days, which make sure workers can get at least one day off per 7-day period. Overtime on working days and off days would be paid 1.5 times and 2 times of normal wages respectively as overtime premium. 6 workers' attendance records were sampled for review.
04/2025 (last paid month) – standard weekly working hours (40) + maximum weekly OT (18), 
01/2025 (random month) – standard weekly working hours (40) + maximum weekly OT (18),
11/2024 (random month) – standard weekly working hours (40) + maximum weekly OT (18).</v>
      </c>
      <c r="C66" s="562"/>
      <c r="D66" s="562"/>
      <c r="E66" s="562"/>
      <c r="F66" s="562"/>
      <c r="G66" s="562"/>
      <c r="H66" s="562"/>
      <c r="I66" s="562"/>
      <c r="J66" s="562"/>
      <c r="K66" s="562"/>
      <c r="L66" s="562"/>
      <c r="M66" s="562"/>
    </row>
    <row r="67" spans="1:13" ht="27.5" hidden="1" customHeight="1">
      <c r="A67" s="563"/>
      <c r="B67" s="561" t="str">
        <f>_xlfn.CONCAT(G52, G54, G56)&amp;IF(MAX(I59:I61)&lt;=6,"最多连续工作6天，确保了员工能够每7天得到至少1天的休息。","")&amp;"工作日加班和休息日加班被分别支付平时工资的1.5倍和2倍作为加班费。"</f>
        <v>常规工作时间是 8:00-12:00, 13:30-17:30. 在生产需要时，工人会在工作日自愿加班至多2 小时，在周末自愿加班至多8小时。最多连续工作6天，确保了员工能够每7天得到至少1天的休息。工作日加班和休息日加班被分别支付平时工资的1.5倍和2倍作为加班费。</v>
      </c>
      <c r="C67" s="562"/>
      <c r="D67" s="562"/>
      <c r="E67" s="562"/>
      <c r="F67" s="562"/>
      <c r="G67" s="562"/>
      <c r="H67" s="562"/>
      <c r="I67" s="562"/>
      <c r="J67" s="562"/>
      <c r="K67" s="562"/>
      <c r="L67" s="562"/>
      <c r="M67" s="562"/>
    </row>
    <row r="68" spans="1:13" ht="109" customHeight="1">
      <c r="A68" s="563" t="s">
        <v>1310</v>
      </c>
      <c r="B68" s="562" t="str">
        <f>"Based on personnel interview, site observation, and document review, it was noted that the monthly overtime hours exceeded the legal limit of 36 hours. "&amp;CHAR(10)&amp;IF(MAX(E59:F59)&gt;36,D59&amp;" out of "&amp;C59&amp;" workers overtime worked "&amp;IF(E59=F59,E59,E59&amp;"-" &amp;F59)&amp;" hours in "&amp;B59&amp;" (last paid month); ","")&amp;IF(G59&gt;3,"the maximum daily overtime hours were "&amp;G59&amp;" hours. ","")&amp;IF(MAX(E60:F60)&gt;36,CHAR(10)&amp;D60&amp;" out of "&amp;C60&amp;" workers overtime worked "&amp;IF(E60=F60, E60, E60&amp;"-"&amp;F60)&amp;" hours in "&amp;B60&amp;" (random month); ","")&amp;IF(G60&gt;3,"the maximum daily overtime hours on weekday were "&amp;G60&amp;" hours. ","")&amp;IF(MAX(E61:F61)&gt;36,CHAR(10)&amp;D61&amp;" out of "&amp;C61&amp;" workers overtime worked "&amp;IF(E61=F61,E61,E61&amp;"-"&amp;F61)&amp;" hours in "&amp;B61&amp;" (random month). ","")&amp;IF(G61&gt;3,"the maximum daily overtime hours on weekday were "&amp;G61&amp;" hours. ","")&amp;CHAR(10)&amp;Reference!B79</f>
        <v>Based on personnel interview, site observation, and document review, it was noted that the monthly overtime hours exceeded the legal limit of 36 hours. 
6 out of 6 workers overtime worked 48-50 hours in 04/2025 (last paid month); 
5 out of 6 workers overtime worked 38 hours in 01/2025 (random month); 
6 out of 6 workers overtime worked 40-62 hours in 11/2024 (random month). 
This violates Article 41 of the Labor Law of the People's Republic of China.
The workers' overtime work was voluntary. Due to the high frequency of excessive overtime, this issue is rated as No.</v>
      </c>
      <c r="C68" s="562"/>
      <c r="D68" s="562"/>
      <c r="E68" s="562"/>
      <c r="F68" s="562"/>
      <c r="G68" s="562"/>
      <c r="H68" s="562"/>
      <c r="I68" s="562"/>
      <c r="J68" s="562"/>
      <c r="K68" s="562"/>
      <c r="L68" s="562"/>
      <c r="M68" s="562"/>
    </row>
    <row r="69" spans="1:13" ht="33" hidden="1" customHeight="1">
      <c r="A69" s="570"/>
      <c r="B69" s="562" t="str">
        <f>"根据人员访谈，现场观察和文件查阅，发现月加班时间超出法律限定的36小时。"&amp;CHAR(10)&amp;IF(MAX(E59:F59)&gt;36, D59&amp;"/"&amp;C59&amp;"名员工在"&amp;B59&amp;"月（最近发薪月）的加班时间为"&amp;IF(E59=F59,E59,E59&amp;"-"&amp;F59)&amp;"小时; ","")&amp;IF(G59&gt;3,"每天最大加班时间是 "&amp;G59&amp;"小时。","")&amp;IF(MAX(E60:F60)&gt;36, CHAR(10)&amp;D60&amp;"/"&amp;C60&amp;"名员工在"&amp;B60&amp;"月（随机抽选月份）的加班时间为"&amp;IF(E60=F60,E60,E60&amp;"-"&amp;F60)&amp;"小时; ","")&amp;IF(G60&gt;3,"每天最大加班时间是 "&amp;G60&amp;"小时。","")&amp;IF(MAX(E61:F61)&gt;36, CHAR(10)&amp;D61&amp;"/"&amp;C61&amp;"名员工在"&amp;B61&amp;"月（随机抽选月份）的加班时间为"&amp;IF(E61=F61,E61,E61&amp;"-"&amp;F61)&amp;"小时。","")&amp;IF(G61&gt;3,"每天最大加班时间是 "&amp;G61&amp;"小时。","")&amp;CHAR(10)&amp;Reference!B81</f>
        <v>根据人员访谈，现场观察和文件查阅，发现月加班时间超出法律限定的36小时。
6/6名员工在04/2025月（最近发薪月）的加班时间为48-50小时; 
5/6名员工在01/2025月（随机抽选月份）的加班时间为38小时; 
6/6名员工在11/2024月（随机抽选月份）的加班时间为40-62小时。
这违反了《中华人民共和国劳动法》第41条的要求。
员工均为自愿加班。由于加班时间超时的频率较高，此问题被评分为不符合.</v>
      </c>
      <c r="C69" s="562"/>
      <c r="D69" s="562"/>
      <c r="E69" s="562"/>
      <c r="F69" s="562"/>
      <c r="G69" s="562"/>
      <c r="H69" s="562"/>
      <c r="I69" s="562"/>
      <c r="J69" s="562"/>
      <c r="K69" s="562"/>
      <c r="L69" s="562"/>
      <c r="M69" s="562"/>
    </row>
    <row r="70" spans="1:13" ht="21.75" customHeight="1">
      <c r="A70" s="197"/>
      <c r="B70" s="172"/>
      <c r="C70" s="172"/>
      <c r="D70" s="172"/>
      <c r="E70" s="172"/>
      <c r="F70" s="172"/>
      <c r="G70" s="172"/>
      <c r="H70" s="172"/>
      <c r="I70" s="172"/>
      <c r="J70" s="172"/>
      <c r="K70" s="172"/>
      <c r="L70" s="172"/>
      <c r="M70" s="172"/>
    </row>
    <row r="71" spans="1:13" ht="21.75" customHeight="1">
      <c r="A71" s="197">
        <v>7.1</v>
      </c>
      <c r="B71" s="182" t="s">
        <v>1598</v>
      </c>
      <c r="C71" s="172"/>
      <c r="D71" s="172"/>
      <c r="E71" s="172"/>
      <c r="F71" s="172"/>
      <c r="G71" s="172"/>
      <c r="H71" s="172"/>
      <c r="I71" s="172"/>
      <c r="J71" s="172"/>
      <c r="K71" s="172"/>
      <c r="L71" s="172"/>
      <c r="M71" s="172"/>
    </row>
    <row r="72" spans="1:13" ht="21.75" customHeight="1">
      <c r="A72" s="197"/>
      <c r="B72" s="172" t="b">
        <v>0</v>
      </c>
      <c r="C72" s="172"/>
      <c r="D72" s="172"/>
      <c r="E72" s="172"/>
      <c r="F72" s="172"/>
      <c r="G72" s="172"/>
      <c r="H72" s="172"/>
      <c r="I72" s="172"/>
      <c r="J72" s="172"/>
      <c r="K72" s="172"/>
      <c r="L72" s="172"/>
      <c r="M72" s="172"/>
    </row>
    <row r="73" spans="1:13" ht="42" customHeight="1">
      <c r="A73" s="563" t="s">
        <v>1349</v>
      </c>
      <c r="B73" s="561" t="str">
        <f>IF(J39&gt;=100%,B43&amp;B45,IF(F42&gt;=100%,"The injury insurance coverage ratio is 100%. ","The injury insurance participants were not sufficient. ")&amp;_xlfn.CONCAT("According to social insurance records of "&amp;B38&amp;", "&amp;"there were total "&amp;C38&amp;" workers in that month, among whom "&amp;J38&amp;" ("&amp;TEXT(J38/C38,"00.0%")&amp;")"&amp;" workers participated in injury insurance"&amp;". "))&amp;B47&amp;" According to Social Insurance Law of the People's Republic of China; Article 33."</f>
        <v>The injury insurance coverage ratio is 100%. According to social insurance records of 04/2025, there were total 39 workers in that month, among whom 16 (41.0%) workers participated in injury insurance. The factory also purchased group commercial injury insurance for 40 workers with a valid period to 31/12/2025. Therefore, all workers were covered by injury insurance. According to Social Insurance Law of the People's Republic of China; Article 33.</v>
      </c>
      <c r="C73" s="562"/>
      <c r="D73" s="562"/>
      <c r="E73" s="562"/>
      <c r="F73" s="562"/>
      <c r="G73" s="562"/>
      <c r="H73" s="562"/>
      <c r="I73" s="562"/>
      <c r="J73" s="562"/>
      <c r="K73" s="562"/>
      <c r="L73" s="562"/>
      <c r="M73" s="562"/>
    </row>
    <row r="74" spans="1:13" ht="29.25" customHeight="1">
      <c r="A74" s="570"/>
      <c r="B74" s="561" t="str">
        <f>IF(J39&gt;=100%,B44&amp;B46,IF(F42&gt;=100%,"工伤参保比例是100%. ","工伤参保人数不足。 ")&amp;_xlfn.CONCAT("根据"&amp;B38&amp;"社保记录，当月有"&amp;C38&amp;"名员工，其中"&amp;J38&amp;" ("&amp;TEXT(J38/C38,"00.0%")&amp;")"&amp;"人参加工伤保险"&amp;"。"))&amp;B48&amp;"根据《中华人民共和国社会保险法》第三十三条。"</f>
        <v>工伤参保比例是100%. 根据04/2025社保记录，当月有39名员工，其中16 (41.0%)人参加工伤保险。工厂为40名员工购买了商业团体意外险，有效期到31/12/2025，因此所有人被工伤保险覆盖。根据《中华人民共和国社会保险法》第三十三条。</v>
      </c>
      <c r="C74" s="562"/>
      <c r="D74" s="562"/>
      <c r="E74" s="562"/>
      <c r="F74" s="562"/>
      <c r="G74" s="562"/>
      <c r="H74" s="562"/>
      <c r="I74" s="562"/>
      <c r="J74" s="562"/>
      <c r="K74" s="562"/>
      <c r="L74" s="562"/>
      <c r="M74" s="562"/>
    </row>
    <row r="75" spans="1:13" ht="21.75" customHeight="1">
      <c r="A75" s="13">
        <v>7.3</v>
      </c>
      <c r="B75" s="182" t="s">
        <v>1359</v>
      </c>
      <c r="C75" s="182" t="s">
        <v>1357</v>
      </c>
      <c r="D75" s="182" t="s">
        <v>1358</v>
      </c>
      <c r="E75" s="564" t="s">
        <v>1755</v>
      </c>
      <c r="F75" s="566"/>
      <c r="G75" s="565"/>
      <c r="H75" s="564" t="s">
        <v>1757</v>
      </c>
      <c r="I75" s="566"/>
      <c r="J75" s="565"/>
      <c r="K75" s="576"/>
      <c r="L75" s="577"/>
      <c r="M75" s="172"/>
    </row>
    <row r="76" spans="1:13" ht="21.75" customHeight="1">
      <c r="A76" s="13"/>
      <c r="B76" s="172" t="b">
        <v>0</v>
      </c>
      <c r="C76" s="172" t="b">
        <v>1</v>
      </c>
      <c r="D76" s="172" t="b">
        <v>1</v>
      </c>
      <c r="E76" s="567" t="s">
        <v>1756</v>
      </c>
      <c r="F76" s="568"/>
      <c r="G76" s="569"/>
      <c r="H76" s="567" t="e">
        <f>_xlfn.FILTERXML(_xlfn.WEBSERVICE("http://fanyi.youdao.com/translate?&amp;i="&amp;H75&amp;"&amp;doctype=xml&amp;version"),"//translation")</f>
        <v>#VALUE!</v>
      </c>
      <c r="I76" s="568"/>
      <c r="J76" s="569"/>
      <c r="K76" s="576"/>
      <c r="L76" s="577"/>
      <c r="M76" s="172"/>
    </row>
    <row r="77" spans="1:13" ht="21.75" customHeight="1">
      <c r="A77" s="13">
        <v>7.4</v>
      </c>
      <c r="B77" s="187" t="s">
        <v>1585</v>
      </c>
      <c r="C77" s="172"/>
      <c r="D77" s="172"/>
      <c r="E77" s="172"/>
      <c r="F77" s="172"/>
      <c r="G77" s="172"/>
      <c r="H77" s="172"/>
      <c r="I77" s="172"/>
      <c r="J77" s="172"/>
      <c r="K77" s="172"/>
      <c r="L77" s="172"/>
      <c r="M77" s="172"/>
    </row>
    <row r="78" spans="1:13" ht="21.75" customHeight="1">
      <c r="A78" s="13"/>
      <c r="B78" s="1" t="b">
        <v>1</v>
      </c>
      <c r="C78" s="172"/>
      <c r="D78" s="172"/>
      <c r="E78" s="172"/>
      <c r="F78" s="172"/>
      <c r="G78" s="172"/>
      <c r="H78" s="172"/>
      <c r="I78" s="172"/>
      <c r="J78" s="172"/>
      <c r="K78" s="172"/>
      <c r="L78" s="172"/>
      <c r="M78" s="172"/>
    </row>
    <row r="79" spans="1:13" ht="21.75" customHeight="1">
      <c r="A79" s="13">
        <v>7.5</v>
      </c>
      <c r="B79" s="182" t="s">
        <v>1145</v>
      </c>
      <c r="F79" s="182" t="s">
        <v>1439</v>
      </c>
      <c r="G79" s="182"/>
    </row>
    <row r="80" spans="1:13" ht="21.75" customHeight="1">
      <c r="B80" s="170" t="b">
        <v>1</v>
      </c>
      <c r="F80" s="1" t="b">
        <v>1</v>
      </c>
    </row>
    <row r="81" spans="1:13" ht="27.75" customHeight="1">
      <c r="B81" s="561" t="s">
        <v>1671</v>
      </c>
      <c r="C81" s="562"/>
      <c r="D81" s="562"/>
      <c r="E81" s="562"/>
      <c r="F81" s="562"/>
      <c r="G81" s="562"/>
      <c r="H81" s="562"/>
      <c r="I81" s="562"/>
      <c r="J81" s="562"/>
      <c r="K81" s="562"/>
      <c r="L81" s="562"/>
      <c r="M81" s="562"/>
    </row>
    <row r="82" spans="1:13" ht="22.5" customHeight="1">
      <c r="B82" s="561" t="s">
        <v>1670</v>
      </c>
      <c r="C82" s="562"/>
      <c r="D82" s="562"/>
      <c r="E82" s="562"/>
      <c r="F82" s="562"/>
      <c r="G82" s="562"/>
      <c r="H82" s="562"/>
      <c r="I82" s="562"/>
      <c r="J82" s="562"/>
      <c r="K82" s="562"/>
      <c r="L82" s="562"/>
      <c r="M82" s="562"/>
    </row>
    <row r="83" spans="1:13" ht="21.75" customHeight="1">
      <c r="A83" s="559">
        <v>7.6</v>
      </c>
      <c r="B83" s="182" t="s">
        <v>1046</v>
      </c>
      <c r="C83" s="557" t="s">
        <v>1238</v>
      </c>
      <c r="D83" s="558"/>
      <c r="E83" s="557" t="s">
        <v>1322</v>
      </c>
      <c r="F83" s="558"/>
    </row>
    <row r="84" spans="1:13" ht="21.75" customHeight="1">
      <c r="A84" s="559"/>
      <c r="B84" s="177" t="b">
        <v>0</v>
      </c>
      <c r="C84" s="564" t="s">
        <v>1658</v>
      </c>
      <c r="D84" s="565"/>
      <c r="E84" s="557" t="e">
        <f>_xlfn.FILTERXML(_xlfn.WEBSERVICE("http://fanyi.youdao.com/translate?&amp;i="&amp;C84&amp;"&amp;doctype=xml&amp;version"),"//translation")</f>
        <v>#VALUE!</v>
      </c>
      <c r="F84" s="558"/>
    </row>
    <row r="85" spans="1:13" ht="12" customHeight="1">
      <c r="B85" s="561" t="str">
        <f>IF(B84=TRUE,"Personal protective equipment such as "&amp;C84&amp;IF(ISNUMBER(SEARCH("and",C84))," were "," was ")&amp;"provided to workers. ","")</f>
        <v/>
      </c>
      <c r="C85" s="562"/>
      <c r="D85" s="562"/>
      <c r="E85" s="562"/>
      <c r="F85" s="562"/>
      <c r="G85" s="562"/>
      <c r="H85" s="562"/>
      <c r="I85" s="562"/>
      <c r="J85" s="562"/>
      <c r="K85" s="562"/>
      <c r="L85" s="562"/>
      <c r="M85" s="562"/>
    </row>
    <row r="86" spans="1:13" ht="25.5" customHeight="1">
      <c r="B86" s="561" t="str">
        <f>IF(B84=TRUE,"个人防护用品例如"&amp;E84&amp;"提供给了工人。","")</f>
        <v/>
      </c>
      <c r="C86" s="562"/>
      <c r="D86" s="562"/>
      <c r="E86" s="562"/>
      <c r="F86" s="562"/>
      <c r="G86" s="562"/>
      <c r="H86" s="562"/>
      <c r="I86" s="562"/>
      <c r="J86" s="562"/>
      <c r="K86" s="562"/>
      <c r="L86" s="562"/>
      <c r="M86" s="562"/>
    </row>
    <row r="87" spans="1:13" ht="21.75" customHeight="1">
      <c r="A87" s="559">
        <v>7.7</v>
      </c>
      <c r="E87" s="182" t="s">
        <v>1047</v>
      </c>
      <c r="F87" s="182" t="s">
        <v>1088</v>
      </c>
      <c r="G87" s="182" t="s">
        <v>1048</v>
      </c>
      <c r="H87" s="182" t="s">
        <v>1049</v>
      </c>
    </row>
    <row r="88" spans="1:13" ht="27" customHeight="1">
      <c r="A88" s="559"/>
      <c r="E88" s="178" t="b">
        <v>1</v>
      </c>
      <c r="F88" s="178" t="b">
        <v>1</v>
      </c>
      <c r="G88" s="178" t="b">
        <v>1</v>
      </c>
      <c r="H88" s="178" t="b">
        <v>1</v>
      </c>
    </row>
    <row r="89" spans="1:13" ht="29.25" customHeight="1">
      <c r="A89" s="563" t="s">
        <v>1365</v>
      </c>
      <c r="B89" s="561"/>
      <c r="C89" s="562"/>
      <c r="D89" s="562"/>
      <c r="E89" s="562"/>
      <c r="F89" s="562"/>
      <c r="G89" s="562"/>
      <c r="H89" s="562"/>
      <c r="I89" s="562"/>
      <c r="J89" s="562"/>
      <c r="K89" s="562"/>
      <c r="L89" s="562"/>
      <c r="M89" s="562"/>
    </row>
    <row r="90" spans="1:13" ht="29.25" customHeight="1">
      <c r="A90" s="570"/>
      <c r="B90" s="561"/>
      <c r="C90" s="562"/>
      <c r="D90" s="562"/>
      <c r="E90" s="562"/>
      <c r="F90" s="562"/>
      <c r="G90" s="562"/>
      <c r="H90" s="562"/>
      <c r="I90" s="562"/>
      <c r="J90" s="562"/>
      <c r="K90" s="562"/>
      <c r="L90" s="562"/>
      <c r="M90" s="562"/>
    </row>
    <row r="91" spans="1:13" ht="14.5"/>
    <row r="92" spans="1:13" ht="21.75" customHeight="1">
      <c r="A92" s="1">
        <v>7.9</v>
      </c>
      <c r="B92" s="182" t="s">
        <v>1545</v>
      </c>
    </row>
    <row r="93" spans="1:13" ht="21.75" customHeight="1">
      <c r="B93" s="1" t="b">
        <v>1</v>
      </c>
    </row>
    <row r="94" spans="1:13" ht="21.75" customHeight="1">
      <c r="A94" s="247" t="s">
        <v>594</v>
      </c>
      <c r="B94" s="182" t="s">
        <v>1564</v>
      </c>
    </row>
    <row r="95" spans="1:13" ht="21.75" customHeight="1">
      <c r="B95" s="1" t="b">
        <v>1</v>
      </c>
    </row>
    <row r="96" spans="1:13" ht="21.75" customHeight="1">
      <c r="A96" s="570">
        <v>7.11</v>
      </c>
      <c r="B96" s="182" t="s">
        <v>1050</v>
      </c>
      <c r="D96" s="223" t="s">
        <v>1573</v>
      </c>
      <c r="E96" s="1" t="str">
        <f>IF(OR(B97=FALSE,D97=FALSE),"Building Year","")</f>
        <v/>
      </c>
    </row>
    <row r="97" spans="1:13" ht="21.75" customHeight="1">
      <c r="A97" s="570"/>
      <c r="B97" s="171" t="b">
        <v>1</v>
      </c>
      <c r="D97" s="171" t="b">
        <v>1</v>
      </c>
    </row>
    <row r="98" spans="1:13" ht="18.75" customHeight="1">
      <c r="B98" s="562" t="str">
        <f>IF(B97=TRUE,"The factory had obtained fire acceptance report. ","")&amp;IF(D97=TRUE,"Building construction project acceptance report is provided for review. ","")</f>
        <v xml:space="preserve">The factory had obtained fire acceptance report. Building construction project acceptance report is provided for review. </v>
      </c>
      <c r="C98" s="562"/>
      <c r="D98" s="562"/>
      <c r="E98" s="562"/>
      <c r="F98" s="562"/>
      <c r="G98" s="562"/>
      <c r="H98" s="562"/>
      <c r="I98" s="562"/>
      <c r="J98" s="562"/>
      <c r="K98" s="562"/>
      <c r="L98" s="562"/>
      <c r="M98" s="562"/>
    </row>
    <row r="99" spans="1:13" ht="16.5" customHeight="1">
      <c r="B99" s="562" t="str">
        <f>IF(B97=TRUE,"厂房已经取得了消防验收合格报告。","")&amp;IF(D97=TRUE,"建筑物建设工程竣工验收报告被提供给审核。","")</f>
        <v>厂房已经取得了消防验收合格报告。建筑物建设工程竣工验收报告被提供给审核。</v>
      </c>
      <c r="C99" s="562"/>
      <c r="D99" s="562"/>
      <c r="E99" s="562"/>
      <c r="F99" s="562"/>
      <c r="G99" s="562"/>
      <c r="H99" s="562"/>
      <c r="I99" s="562"/>
      <c r="J99" s="562"/>
      <c r="K99" s="562"/>
      <c r="L99" s="562"/>
      <c r="M99" s="562"/>
    </row>
    <row r="100" spans="1:13" ht="21.75" customHeight="1">
      <c r="A100" s="559"/>
      <c r="B100" s="232" t="s">
        <v>1253</v>
      </c>
      <c r="C100" s="232" t="s">
        <v>1198</v>
      </c>
      <c r="D100" s="232" t="s">
        <v>1256</v>
      </c>
      <c r="E100" s="232" t="s">
        <v>1255</v>
      </c>
      <c r="F100" s="232" t="s">
        <v>1254</v>
      </c>
      <c r="G100" s="232" t="s">
        <v>1257</v>
      </c>
      <c r="H100" s="254" t="s">
        <v>1594</v>
      </c>
      <c r="K100" s="14"/>
      <c r="L100" s="14"/>
      <c r="M100" s="14"/>
    </row>
    <row r="101" spans="1:13" ht="21.75" customHeight="1">
      <c r="A101" s="559"/>
      <c r="B101" s="177" t="b">
        <v>1</v>
      </c>
      <c r="C101" s="177" t="b">
        <v>1</v>
      </c>
      <c r="D101" s="177" t="b">
        <v>1</v>
      </c>
      <c r="E101" s="177" t="b">
        <v>0</v>
      </c>
      <c r="F101" s="186" t="s">
        <v>666</v>
      </c>
      <c r="G101" s="177" t="b">
        <v>1</v>
      </c>
      <c r="H101" s="1" t="b">
        <v>1</v>
      </c>
      <c r="K101" s="14"/>
      <c r="L101" s="14"/>
      <c r="M101" s="14"/>
    </row>
    <row r="102" spans="1:13" ht="21.75" customHeight="1">
      <c r="A102" s="13">
        <v>7.13</v>
      </c>
      <c r="B102" s="562"/>
      <c r="C102" s="562"/>
      <c r="D102" s="562"/>
      <c r="E102" s="562"/>
      <c r="F102" s="562"/>
      <c r="G102" s="562"/>
      <c r="H102" s="562"/>
      <c r="I102" s="562"/>
      <c r="J102" s="562"/>
      <c r="K102" s="562"/>
      <c r="L102" s="562"/>
      <c r="M102" s="562"/>
    </row>
    <row r="103" spans="1:13" ht="21.75" customHeight="1">
      <c r="A103" s="559">
        <v>7.14</v>
      </c>
      <c r="B103" s="187" t="s">
        <v>992</v>
      </c>
      <c r="C103" s="182" t="s">
        <v>1052</v>
      </c>
      <c r="D103" s="578"/>
      <c r="E103" s="579"/>
      <c r="F103" s="182" t="s">
        <v>1053</v>
      </c>
      <c r="G103" s="557" t="s">
        <v>1055</v>
      </c>
      <c r="H103" s="558"/>
      <c r="I103" s="182" t="s">
        <v>1054</v>
      </c>
      <c r="J103" s="14"/>
      <c r="K103" s="182" t="s">
        <v>1051</v>
      </c>
      <c r="L103" s="188" t="s">
        <v>1056</v>
      </c>
      <c r="M103" s="14"/>
    </row>
    <row r="104" spans="1:13" ht="21.75" customHeight="1">
      <c r="A104" s="559"/>
      <c r="B104" s="171" t="b">
        <v>1</v>
      </c>
      <c r="C104" s="171" t="b">
        <v>1</v>
      </c>
      <c r="D104" s="14"/>
      <c r="E104" s="14"/>
      <c r="F104" s="171" t="b">
        <v>1</v>
      </c>
      <c r="G104" s="186" t="s">
        <v>1667</v>
      </c>
      <c r="H104" s="182" t="s">
        <v>1494</v>
      </c>
      <c r="I104" s="171" t="b">
        <v>0</v>
      </c>
      <c r="J104" s="14"/>
      <c r="K104" s="176" t="b">
        <v>0</v>
      </c>
      <c r="L104" s="176" t="b">
        <v>0</v>
      </c>
      <c r="M104" s="14"/>
    </row>
    <row r="105" spans="1:13" ht="41.25" customHeight="1">
      <c r="B105" s="562" t="str">
        <f>IF(B104=TRUE, "Fire extinguishers were sufficient in number and were maintained in good condition. ", "")&amp;IF(C104=TRUE,"Per on-site test on the audit date, the fire hydrant system worked well with sufficient water pressure. ", "")&amp;IF(F104=TRUE, IF(F104=TRUE,"The fire alarm is tested to be fine and in compliance with the legal requirement. "&amp;IF(AND(ISBLANK(G104)=FALSE,I104=TRUE),"In area where was high noisy such as "&amp;G104&amp;" workshop, "&amp;"A fire alarm with flashlight function was available. ",""), ""), "")&amp;IF(K104=TRUE, "Fire sprinkler system is installed. ", "")&amp;IF(L104=TRUE, "Smoke detector was installed. ", "")</f>
        <v xml:space="preserve">Fire extinguishers were sufficient in number and were maintained in good condition. Per on-site test on the audit date, the fire hydrant system worked well with sufficient water pressure. The fire alarm is tested to be fine and in compliance with the legal requirement. </v>
      </c>
      <c r="C105" s="562"/>
      <c r="D105" s="562"/>
      <c r="E105" s="562"/>
      <c r="F105" s="562"/>
      <c r="G105" s="562"/>
      <c r="H105" s="562"/>
      <c r="I105" s="562"/>
      <c r="J105" s="562"/>
      <c r="K105" s="562"/>
      <c r="L105" s="562"/>
      <c r="M105" s="562"/>
    </row>
    <row r="106" spans="1:13" ht="24" customHeight="1">
      <c r="B106" s="562" t="str">
        <f>IF(B104=TRUE,"灭火器数量充足且维护良好。","")&amp;IF(C104=TRUE,"在审核当天经现场测试，消防栓系统工作完好且水压充足。","")&amp;IF(F104=TRUE,IF(F104=TRUE,"每个车间都安装了消防警铃。"&amp;IF(AND(ISBLANK(G104)=FALSE,I104=TRUE),"在高噪音区域例如"&amp;H104&amp;"车间，"&amp;"安装了带有闪光功能的消防警铃。",""),""),"")&amp;IF(K104=TRUE,"车间装有消防喷淋系统。","")&amp;IF(L104=TRUE, "安装了烟雾感应器。", "")</f>
        <v>灭火器数量充足且维护良好。在审核当天经现场测试，消防栓系统工作完好且水压充足。每个车间都安装了消防警铃。</v>
      </c>
      <c r="C106" s="562"/>
      <c r="D106" s="562"/>
      <c r="E106" s="562"/>
      <c r="F106" s="562"/>
      <c r="G106" s="562"/>
      <c r="H106" s="562"/>
      <c r="I106" s="562"/>
      <c r="J106" s="562"/>
      <c r="K106" s="562"/>
      <c r="L106" s="562"/>
      <c r="M106" s="562"/>
    </row>
    <row r="107" spans="1:13" ht="24" customHeight="1">
      <c r="A107" s="1">
        <v>7.15</v>
      </c>
      <c r="B107" s="188" t="s">
        <v>1522</v>
      </c>
      <c r="C107" s="182" t="s">
        <v>1523</v>
      </c>
      <c r="D107" s="235" t="s">
        <v>1524</v>
      </c>
      <c r="E107" s="235" t="s">
        <v>1538</v>
      </c>
      <c r="F107" s="236" t="s">
        <v>1539</v>
      </c>
      <c r="G107" s="237" t="s">
        <v>1540</v>
      </c>
      <c r="H107" s="172"/>
      <c r="I107" s="172"/>
      <c r="J107" s="172"/>
      <c r="K107" s="172"/>
      <c r="L107" s="172"/>
      <c r="M107" s="172"/>
    </row>
    <row r="108" spans="1:13" ht="21.75" customHeight="1">
      <c r="B108" s="171" t="b">
        <v>1</v>
      </c>
      <c r="C108" s="172" t="b">
        <v>1</v>
      </c>
      <c r="D108" s="172" t="b">
        <v>1</v>
      </c>
      <c r="E108" s="172" t="b">
        <v>1</v>
      </c>
      <c r="F108" s="172" t="b">
        <v>0</v>
      </c>
      <c r="G108" s="172" t="b">
        <v>1</v>
      </c>
      <c r="H108" s="172"/>
      <c r="I108" s="172"/>
      <c r="J108" s="172"/>
      <c r="K108" s="172"/>
      <c r="L108" s="172"/>
      <c r="M108" s="172"/>
    </row>
    <row r="109" spans="1:13" ht="21.75" customHeight="1">
      <c r="B109" s="562" t="str">
        <f>"Emergency safety exits were sufficient for each workshop. Aisles and safety exits were clearly marked and illuminated, and they were free of obstruction. "&amp;IF(AND(F108=TRUE,G108=TRUE),"Rolling doors were used for some safety exits, but fixtures had been installed to keep them always open during working hours.","")</f>
        <v xml:space="preserve">Emergency safety exits were sufficient for each workshop. Aisles and safety exits were clearly marked and illuminated, and they were free of obstruction. </v>
      </c>
      <c r="C109" s="562"/>
      <c r="D109" s="562"/>
      <c r="E109" s="562"/>
      <c r="F109" s="562"/>
      <c r="G109" s="562"/>
      <c r="H109" s="562"/>
      <c r="I109" s="562"/>
      <c r="J109" s="562"/>
      <c r="K109" s="562"/>
      <c r="L109" s="562"/>
      <c r="M109" s="562"/>
    </row>
    <row r="110" spans="1:13" ht="30" customHeight="1">
      <c r="B110" s="562" t="str">
        <f>"车间安全出口数量足够。通道和安全出口有清晰标志和照明，并且保持畅通。"&amp;IF(AND(F108=TRUE,G108=TRUE),"有安全出口使用了卷闸门，但已经配备了固定装置，确保在工作时间内卷闸门始终保持开启状态。","")</f>
        <v>车间安全出口数量足够。通道和安全出口有清晰标志和照明，并且保持畅通。</v>
      </c>
      <c r="C110" s="562"/>
      <c r="D110" s="562"/>
      <c r="E110" s="562"/>
      <c r="F110" s="562"/>
      <c r="G110" s="562"/>
      <c r="H110" s="562"/>
      <c r="I110" s="562"/>
      <c r="J110" s="562"/>
      <c r="K110" s="562"/>
      <c r="L110" s="562"/>
      <c r="M110" s="562"/>
    </row>
    <row r="111" spans="1:13" ht="21.75" customHeight="1">
      <c r="A111" s="1">
        <v>7.17</v>
      </c>
      <c r="B111" s="185" t="s">
        <v>1175</v>
      </c>
      <c r="C111" s="185" t="s">
        <v>1179</v>
      </c>
      <c r="D111" s="185" t="s">
        <v>1178</v>
      </c>
      <c r="E111" s="185" t="s">
        <v>1348</v>
      </c>
      <c r="F111" s="185" t="s">
        <v>1556</v>
      </c>
      <c r="G111" s="185" t="s">
        <v>1555</v>
      </c>
    </row>
    <row r="112" spans="1:13" ht="21.75" customHeight="1">
      <c r="B112" s="171" t="b">
        <v>1</v>
      </c>
      <c r="C112" s="186" t="s">
        <v>666</v>
      </c>
      <c r="D112" s="171" t="b">
        <v>1</v>
      </c>
      <c r="G112" s="1" t="b">
        <v>1</v>
      </c>
    </row>
    <row r="113" spans="1:14" ht="21.75" customHeight="1">
      <c r="B113" s="562"/>
      <c r="C113" s="562"/>
      <c r="D113" s="562"/>
      <c r="E113" s="562"/>
      <c r="F113" s="562"/>
      <c r="G113" s="562"/>
      <c r="H113" s="562"/>
      <c r="I113" s="562"/>
      <c r="J113" s="562"/>
      <c r="K113" s="562"/>
      <c r="L113" s="562"/>
      <c r="M113" s="562"/>
      <c r="N113" s="562"/>
    </row>
    <row r="114" spans="1:14" ht="21.75" customHeight="1">
      <c r="B114" s="562"/>
      <c r="C114" s="562"/>
      <c r="D114" s="562"/>
      <c r="E114" s="562"/>
      <c r="F114" s="562"/>
      <c r="G114" s="562"/>
      <c r="H114" s="562"/>
      <c r="I114" s="562"/>
      <c r="J114" s="562"/>
      <c r="K114" s="562"/>
      <c r="L114" s="562"/>
      <c r="M114" s="562"/>
      <c r="N114" s="562"/>
    </row>
    <row r="115" spans="1:14" ht="21.75" customHeight="1">
      <c r="B115" s="582" t="s">
        <v>1189</v>
      </c>
      <c r="C115" s="582"/>
      <c r="D115" s="582" t="s">
        <v>1322</v>
      </c>
      <c r="E115" s="582"/>
      <c r="F115" s="182" t="s">
        <v>1176</v>
      </c>
      <c r="G115" s="182" t="s">
        <v>1177</v>
      </c>
      <c r="H115" s="182" t="s">
        <v>1198</v>
      </c>
      <c r="J115" s="182" t="s">
        <v>1199</v>
      </c>
      <c r="K115" s="182" t="s">
        <v>1177</v>
      </c>
      <c r="L115" s="182" t="s">
        <v>1198</v>
      </c>
    </row>
    <row r="116" spans="1:14" ht="21.75" customHeight="1">
      <c r="B116" s="564" t="s">
        <v>1662</v>
      </c>
      <c r="C116" s="565"/>
      <c r="D116" s="586" t="e">
        <f>_xlfn.FILTERXML(_xlfn.WEBSERVICE("http://fanyi.youdao.com/translate?&amp;i="&amp;B116&amp;"&amp;doctype=xml&amp;version"),"//translation")</f>
        <v>#VALUE!</v>
      </c>
      <c r="E116" s="558"/>
      <c r="F116" s="171" t="b">
        <v>1</v>
      </c>
      <c r="G116" s="171" t="b">
        <v>1</v>
      </c>
      <c r="H116" s="171" t="b">
        <v>1</v>
      </c>
      <c r="J116" s="179"/>
      <c r="K116" s="171" t="b">
        <v>1</v>
      </c>
      <c r="L116" s="171" t="b">
        <v>1</v>
      </c>
    </row>
    <row r="117" spans="1:14" ht="9.75" customHeight="1">
      <c r="A117" s="12"/>
    </row>
    <row r="118" spans="1:14" ht="21.75" customHeight="1">
      <c r="A118" s="563">
        <v>7.18</v>
      </c>
      <c r="B118" s="182" t="s">
        <v>1057</v>
      </c>
      <c r="C118" s="182" t="s">
        <v>993</v>
      </c>
      <c r="D118" s="182" t="s">
        <v>1160</v>
      </c>
      <c r="E118" s="168"/>
      <c r="F118" s="168"/>
      <c r="G118" s="168"/>
      <c r="H118" s="168"/>
      <c r="I118" s="168"/>
      <c r="J118" s="168"/>
      <c r="K118" s="168"/>
      <c r="L118" s="168"/>
      <c r="M118" s="168"/>
      <c r="N118" s="168"/>
    </row>
    <row r="119" spans="1:14" ht="21.75" customHeight="1">
      <c r="A119" s="563"/>
      <c r="B119" s="171" t="b">
        <v>1</v>
      </c>
      <c r="C119" s="186">
        <v>2</v>
      </c>
      <c r="D119" s="186" t="s">
        <v>666</v>
      </c>
      <c r="E119" s="168"/>
      <c r="F119" s="168"/>
      <c r="G119" s="168"/>
      <c r="H119" s="168"/>
      <c r="I119" s="168"/>
      <c r="J119" s="168"/>
      <c r="K119" s="168"/>
      <c r="L119" s="168"/>
      <c r="M119" s="168"/>
      <c r="N119" s="168"/>
    </row>
    <row r="120" spans="1:14" ht="21.75" customHeight="1">
      <c r="A120" s="563" t="s">
        <v>1366</v>
      </c>
      <c r="B120" s="578" t="s">
        <v>1210</v>
      </c>
      <c r="C120" s="579"/>
      <c r="D120" s="176" t="s">
        <v>1211</v>
      </c>
    </row>
    <row r="121" spans="1:14" ht="21.75" customHeight="1">
      <c r="A121" s="563"/>
      <c r="B121" s="564" t="s">
        <v>1659</v>
      </c>
      <c r="C121" s="565"/>
      <c r="D121" s="1" t="b">
        <v>1</v>
      </c>
      <c r="G121" s="562"/>
      <c r="H121" s="562"/>
      <c r="I121" s="562"/>
      <c r="J121" s="562"/>
      <c r="K121" s="562"/>
      <c r="L121" s="562"/>
      <c r="M121" s="562"/>
      <c r="N121" s="562"/>
    </row>
    <row r="122" spans="1:14" ht="8.25" customHeight="1">
      <c r="A122" s="12"/>
      <c r="B122" s="562"/>
      <c r="C122" s="562"/>
      <c r="D122" s="562"/>
      <c r="E122" s="562"/>
      <c r="F122" s="562"/>
      <c r="G122" s="562"/>
      <c r="H122" s="562"/>
      <c r="I122" s="562"/>
      <c r="J122" s="562"/>
      <c r="K122" s="562"/>
      <c r="L122" s="562"/>
      <c r="M122" s="562"/>
    </row>
    <row r="123" spans="1:14" ht="21.75" customHeight="1">
      <c r="A123" s="12">
        <v>7.21</v>
      </c>
      <c r="B123" s="182" t="s">
        <v>1010</v>
      </c>
      <c r="C123" s="557" t="s">
        <v>1212</v>
      </c>
      <c r="D123" s="558"/>
      <c r="E123" s="584" t="s">
        <v>1441</v>
      </c>
      <c r="F123" s="585"/>
      <c r="G123" s="172"/>
      <c r="H123" s="172"/>
      <c r="I123" s="172"/>
      <c r="J123" s="172"/>
      <c r="K123" s="172"/>
      <c r="L123" s="172"/>
      <c r="M123" s="172"/>
      <c r="N123" s="172"/>
    </row>
    <row r="124" spans="1:14" ht="21.75" customHeight="1">
      <c r="B124" s="171" t="b">
        <v>0</v>
      </c>
      <c r="C124" s="171" t="b">
        <v>1</v>
      </c>
      <c r="D124" s="172"/>
      <c r="E124" s="171" t="b">
        <v>1</v>
      </c>
      <c r="F124" s="172"/>
      <c r="G124" s="172"/>
      <c r="H124" s="168"/>
      <c r="I124" s="168"/>
      <c r="J124" s="168"/>
      <c r="K124" s="168"/>
      <c r="L124" s="168"/>
      <c r="M124" s="168"/>
      <c r="N124" s="168"/>
    </row>
    <row r="125" spans="1:14" ht="18.75" customHeight="1">
      <c r="B125" s="562" t="s">
        <v>1773</v>
      </c>
      <c r="C125" s="562"/>
      <c r="D125" s="562"/>
      <c r="E125" s="562"/>
      <c r="F125" s="562"/>
      <c r="G125" s="562"/>
      <c r="H125" s="562"/>
      <c r="I125" s="562"/>
      <c r="J125" s="562"/>
      <c r="K125" s="562"/>
      <c r="L125" s="562"/>
      <c r="M125" s="562"/>
      <c r="N125" s="172"/>
    </row>
    <row r="126" spans="1:14" ht="18" customHeight="1">
      <c r="B126" s="562" t="s">
        <v>1772</v>
      </c>
      <c r="C126" s="562"/>
      <c r="D126" s="562"/>
      <c r="E126" s="562"/>
      <c r="F126" s="562"/>
      <c r="G126" s="562"/>
      <c r="H126" s="562"/>
      <c r="I126" s="562"/>
      <c r="J126" s="562"/>
      <c r="K126" s="562"/>
      <c r="L126" s="562"/>
      <c r="M126" s="562"/>
      <c r="N126" s="172"/>
    </row>
    <row r="127" spans="1:14" ht="21.75" customHeight="1">
      <c r="A127" s="12"/>
      <c r="F127" s="182" t="s">
        <v>1284</v>
      </c>
      <c r="H127" s="182" t="s">
        <v>1060</v>
      </c>
      <c r="I127" s="182" t="s">
        <v>1287</v>
      </c>
      <c r="J127" s="182" t="s">
        <v>1507</v>
      </c>
    </row>
    <row r="128" spans="1:14" ht="21.75" customHeight="1">
      <c r="A128" s="12"/>
      <c r="F128" s="1" t="b">
        <v>0</v>
      </c>
      <c r="H128" s="1" t="b">
        <v>0</v>
      </c>
      <c r="I128" s="186" t="b">
        <v>1</v>
      </c>
      <c r="J128" s="1" t="b">
        <v>1</v>
      </c>
    </row>
    <row r="129" spans="1:14" ht="13.5" customHeight="1">
      <c r="B129" s="587"/>
      <c r="C129" s="587"/>
      <c r="D129" s="587"/>
      <c r="E129" s="587"/>
      <c r="F129" s="587"/>
      <c r="G129" s="587"/>
      <c r="H129" s="587"/>
      <c r="I129" s="587"/>
      <c r="J129" s="587"/>
      <c r="K129" s="587"/>
      <c r="L129" s="587"/>
      <c r="M129" s="587"/>
    </row>
    <row r="130" spans="1:14" ht="21.75" customHeight="1">
      <c r="A130" s="1">
        <v>8.1</v>
      </c>
      <c r="B130" s="182" t="s">
        <v>1061</v>
      </c>
      <c r="C130" s="168"/>
      <c r="D130" s="168"/>
      <c r="E130" s="168"/>
      <c r="F130" s="168"/>
      <c r="G130" s="182" t="s">
        <v>1066</v>
      </c>
      <c r="H130" s="557" t="s">
        <v>1089</v>
      </c>
      <c r="I130" s="558"/>
    </row>
    <row r="131" spans="1:14" ht="21.75" customHeight="1">
      <c r="B131" s="1" t="b">
        <v>1</v>
      </c>
      <c r="C131" s="168"/>
      <c r="D131" s="168"/>
      <c r="E131" s="168"/>
      <c r="F131" s="168"/>
      <c r="G131" s="171" t="b">
        <v>1</v>
      </c>
      <c r="H131" s="567">
        <f>'DE Employment Structure'!F55</f>
        <v>23</v>
      </c>
      <c r="I131" s="569"/>
    </row>
    <row r="132" spans="1:14" ht="36.75" customHeight="1">
      <c r="B132" s="562" t="str">
        <f>IF(B131=TRUE,"The factory had established child labour prohibiting procedures and child labour remedial procedure. No child labor was noted.")</f>
        <v>The factory had established child labour prohibiting procedures and child labour remedial procedure. No child labor was noted.</v>
      </c>
      <c r="C132" s="562"/>
      <c r="D132" s="562"/>
      <c r="E132" s="562"/>
      <c r="F132" s="562"/>
      <c r="G132" s="562"/>
      <c r="H132" s="562"/>
      <c r="I132" s="562"/>
      <c r="J132" s="562"/>
      <c r="K132" s="562"/>
      <c r="L132" s="562"/>
      <c r="M132" s="562"/>
      <c r="N132" s="562"/>
    </row>
    <row r="133" spans="1:14" ht="21.75" customHeight="1">
      <c r="B133" s="562" t="str">
        <f>IF(B131=TRUE,"工厂建立了禁止使用童工程序和童工拯救程序。没有发现童工。")</f>
        <v>工厂建立了禁止使用童工程序和童工拯救程序。没有发现童工。</v>
      </c>
      <c r="C133" s="562"/>
      <c r="D133" s="562"/>
      <c r="E133" s="562"/>
      <c r="F133" s="562"/>
      <c r="G133" s="562"/>
      <c r="H133" s="562"/>
      <c r="I133" s="562"/>
      <c r="J133" s="562"/>
      <c r="K133" s="562"/>
      <c r="L133" s="562"/>
      <c r="M133" s="562"/>
      <c r="N133" s="562"/>
    </row>
    <row r="134" spans="1:14" ht="21.75" customHeight="1">
      <c r="A134" s="559"/>
      <c r="B134" s="182" t="s">
        <v>1064</v>
      </c>
      <c r="C134" s="168"/>
      <c r="D134" s="168"/>
      <c r="E134" s="168"/>
      <c r="F134" s="168"/>
      <c r="G134" s="168"/>
      <c r="H134" s="182" t="s">
        <v>1065</v>
      </c>
      <c r="I134" s="180"/>
      <c r="J134" s="180"/>
      <c r="K134" s="168"/>
      <c r="L134" s="168"/>
      <c r="M134" s="168"/>
      <c r="N134" s="168"/>
    </row>
    <row r="135" spans="1:14" ht="21.75" customHeight="1">
      <c r="A135" s="560"/>
      <c r="B135" s="1" t="b">
        <v>1</v>
      </c>
      <c r="C135" s="168"/>
      <c r="D135" s="168"/>
      <c r="E135" s="168"/>
      <c r="F135" s="168"/>
      <c r="G135" s="168"/>
      <c r="H135" s="1" t="b">
        <v>1</v>
      </c>
      <c r="I135" s="186">
        <v>0</v>
      </c>
      <c r="J135" s="253">
        <f>C27</f>
        <v>6</v>
      </c>
      <c r="K135" s="168"/>
      <c r="L135" s="168"/>
      <c r="M135" s="168"/>
      <c r="N135" s="168"/>
    </row>
    <row r="136" spans="1:14" ht="36" customHeight="1">
      <c r="A136" s="1">
        <v>8.1999999999999993</v>
      </c>
      <c r="B136" s="562" t="str">
        <f>"The factory checked workers age by means of reviewing identification card and face to face interview. "&amp;"Trainings regarding child labor, age verification mechanism and child labour remedial procedure were provided to human resources and production department. "&amp;IF(AND(H135=TRUE)," Identification cards were being required to present when recruiting workers. All sample workers' ID copies were recorded in their personnel file and were kept by the human resource department. ","")</f>
        <v xml:space="preserve">The factory checked workers age by means of reviewing identification card and face to face interview. Trainings regarding child labor, age verification mechanism and child labour remedial procedure were provided to human resources and production department.  Identification cards were being required to present when recruiting workers. All sample workers' ID copies were recorded in their personnel file and were kept by the human resource department. </v>
      </c>
      <c r="C136" s="562"/>
      <c r="D136" s="562"/>
      <c r="E136" s="562"/>
      <c r="F136" s="562"/>
      <c r="G136" s="562"/>
      <c r="H136" s="562"/>
      <c r="I136" s="562"/>
      <c r="J136" s="562"/>
      <c r="K136" s="562"/>
      <c r="L136" s="562"/>
      <c r="M136" s="562"/>
      <c r="N136" s="562"/>
    </row>
    <row r="137" spans="1:14" ht="21" customHeight="1">
      <c r="B137" s="562" t="str">
        <f>"工厂通过查看身份证件、面谈来核实员工年龄；人力资源部门和生产部门受到过童工，年龄识别机制和童工拯救程序的培训。"&amp;IF(AND(H135=TRUE),"工人在入职的时候被要求出示身份证。所有抽样人员的入职登记资料由人力资源部门保管。","")</f>
        <v>工厂通过查看身份证件、面谈来核实员工年龄；人力资源部门和生产部门受到过童工，年龄识别机制和童工拯救程序的培训。工人在入职的时候被要求出示身份证。所有抽样人员的入职登记资料由人力资源部门保管。</v>
      </c>
      <c r="C137" s="562"/>
      <c r="D137" s="562"/>
      <c r="E137" s="562"/>
      <c r="F137" s="562"/>
      <c r="G137" s="562"/>
      <c r="H137" s="562"/>
      <c r="I137" s="562"/>
      <c r="J137" s="562"/>
      <c r="K137" s="562"/>
      <c r="L137" s="562"/>
      <c r="M137" s="562"/>
      <c r="N137" s="562"/>
    </row>
    <row r="138" spans="1:14" ht="21.75" customHeight="1">
      <c r="A138" s="1" t="s">
        <v>1070</v>
      </c>
      <c r="B138" s="227" t="s">
        <v>1067</v>
      </c>
      <c r="C138" s="226" t="s">
        <v>1062</v>
      </c>
      <c r="D138" s="226" t="s">
        <v>1063</v>
      </c>
      <c r="E138" s="171"/>
      <c r="F138" s="223" t="s">
        <v>1367</v>
      </c>
      <c r="G138" s="223" t="s">
        <v>0</v>
      </c>
      <c r="N138" s="168"/>
    </row>
    <row r="139" spans="1:14" ht="21.75" customHeight="1">
      <c r="A139" s="172"/>
      <c r="B139" s="171" t="b">
        <v>1</v>
      </c>
      <c r="C139" s="186"/>
      <c r="D139" s="182" t="str">
        <f>C3</f>
        <v>03/2021</v>
      </c>
      <c r="E139" s="171"/>
      <c r="F139" s="215" t="b">
        <v>0</v>
      </c>
      <c r="G139" s="186"/>
      <c r="N139" s="168"/>
    </row>
    <row r="140" spans="1:14" ht="28.5" customHeight="1">
      <c r="A140" s="172"/>
      <c r="B140" s="562" t="str">
        <f>IF(F139=TRUE,"There were total "&amp;G139&amp;" young workers on the audit date. ","There was no young worker case. ")</f>
        <v xml:space="preserve">There was no young worker case. </v>
      </c>
      <c r="C140" s="562"/>
      <c r="D140" s="562"/>
      <c r="E140" s="562"/>
      <c r="F140" s="562"/>
      <c r="G140" s="562"/>
      <c r="H140" s="562"/>
      <c r="I140" s="562"/>
      <c r="J140" s="562"/>
      <c r="K140" s="562"/>
      <c r="L140" s="562"/>
      <c r="M140" s="562"/>
      <c r="N140" s="172"/>
    </row>
    <row r="141" spans="1:14" ht="19.5" customHeight="1">
      <c r="A141" s="172"/>
      <c r="B141" s="562" t="str">
        <f>IF(F139=TRUE,"在审核当天共有"&amp;G139&amp;"个未成年工，","没有发现未成年工。")</f>
        <v>没有发现未成年工。</v>
      </c>
      <c r="C141" s="562"/>
      <c r="D141" s="562"/>
      <c r="E141" s="562"/>
      <c r="F141" s="562"/>
      <c r="G141" s="562"/>
      <c r="H141" s="562"/>
      <c r="I141" s="562"/>
      <c r="J141" s="562"/>
      <c r="K141" s="562"/>
      <c r="L141" s="562"/>
      <c r="M141" s="562"/>
      <c r="N141" s="172"/>
    </row>
    <row r="142" spans="1:14" ht="21.75" customHeight="1">
      <c r="A142" s="172"/>
      <c r="B142" s="562" t="s">
        <v>1705</v>
      </c>
      <c r="C142" s="562"/>
      <c r="D142" s="562"/>
      <c r="E142" s="562"/>
      <c r="F142" s="562"/>
      <c r="G142" s="562"/>
      <c r="H142" s="562"/>
      <c r="I142" s="562"/>
      <c r="J142" s="562"/>
      <c r="K142" s="562"/>
      <c r="L142" s="562"/>
      <c r="M142" s="562"/>
      <c r="N142" s="172"/>
    </row>
    <row r="143" spans="1:14" ht="21.75" customHeight="1">
      <c r="A143" s="172"/>
      <c r="B143" s="562" t="s">
        <v>1704</v>
      </c>
      <c r="C143" s="562"/>
      <c r="D143" s="562"/>
      <c r="E143" s="562"/>
      <c r="F143" s="562"/>
      <c r="G143" s="562"/>
      <c r="H143" s="562"/>
      <c r="I143" s="562"/>
      <c r="J143" s="562"/>
      <c r="K143" s="562"/>
      <c r="L143" s="562"/>
      <c r="M143" s="562"/>
      <c r="N143" s="172"/>
    </row>
    <row r="144" spans="1:14" ht="21.75" customHeight="1">
      <c r="A144" s="172"/>
      <c r="B144" s="228" t="s">
        <v>1069</v>
      </c>
      <c r="C144" s="228" t="s">
        <v>1379</v>
      </c>
      <c r="D144" s="228" t="s">
        <v>1068</v>
      </c>
      <c r="E144" s="229" t="s">
        <v>1369</v>
      </c>
      <c r="F144" s="590" t="s">
        <v>1380</v>
      </c>
      <c r="G144" s="590"/>
      <c r="H144" s="228" t="s">
        <v>1368</v>
      </c>
      <c r="I144" s="172"/>
      <c r="J144" s="172"/>
      <c r="K144" s="172"/>
      <c r="L144" s="172"/>
      <c r="M144" s="172"/>
      <c r="N144" s="172"/>
    </row>
    <row r="145" spans="1:14" ht="21.75" customHeight="1">
      <c r="A145" s="172"/>
      <c r="B145" s="215" t="b">
        <v>0</v>
      </c>
      <c r="C145" s="171" t="b">
        <v>1</v>
      </c>
      <c r="D145" s="215" t="b">
        <v>0</v>
      </c>
      <c r="E145" s="215" t="b">
        <v>1</v>
      </c>
      <c r="F145" s="186" t="s">
        <v>1384</v>
      </c>
      <c r="G145" s="171" t="b">
        <v>0</v>
      </c>
      <c r="H145" s="215" t="b">
        <v>1</v>
      </c>
      <c r="I145" s="172"/>
      <c r="J145" s="172"/>
      <c r="K145" s="172"/>
      <c r="L145" s="172"/>
      <c r="M145" s="172"/>
      <c r="N145" s="172"/>
    </row>
    <row r="146" spans="1:14" ht="21.75" customHeight="1">
      <c r="B146" s="182" t="s">
        <v>1087</v>
      </c>
      <c r="C146" s="176" t="b">
        <v>1</v>
      </c>
      <c r="D146" s="186">
        <v>3</v>
      </c>
    </row>
    <row r="147" spans="1:14" ht="21.75" customHeight="1">
      <c r="A147" s="1">
        <v>10.1</v>
      </c>
      <c r="B147" s="562" t="str">
        <f>IF(C146=FALSE,Reference!B432&amp;"&lt;br&gt;"&amp;Reference!B433,"")</f>
        <v/>
      </c>
      <c r="C147" s="562"/>
      <c r="D147" s="562"/>
      <c r="E147" s="562"/>
      <c r="F147" s="562"/>
      <c r="G147" s="562"/>
      <c r="H147" s="562"/>
      <c r="I147" s="562"/>
      <c r="J147" s="562"/>
      <c r="K147" s="562"/>
      <c r="L147" s="562"/>
      <c r="M147" s="562"/>
    </row>
    <row r="148" spans="1:14" ht="21.75" customHeight="1">
      <c r="A148" s="559"/>
      <c r="B148" s="182" t="s">
        <v>1073</v>
      </c>
      <c r="C148" s="182" t="s">
        <v>1074</v>
      </c>
      <c r="D148" s="239" t="s">
        <v>1424</v>
      </c>
      <c r="E148" s="182" t="s">
        <v>1090</v>
      </c>
      <c r="F148" s="182" t="s">
        <v>1495</v>
      </c>
      <c r="G148" s="557" t="s">
        <v>1159</v>
      </c>
      <c r="H148" s="558"/>
      <c r="I148" s="557" t="s">
        <v>1095</v>
      </c>
      <c r="J148" s="558"/>
      <c r="K148"/>
      <c r="L148" s="238" t="s">
        <v>1546</v>
      </c>
      <c r="M148"/>
      <c r="N148"/>
    </row>
    <row r="149" spans="1:14" ht="21.75" customHeight="1">
      <c r="A149" s="560"/>
      <c r="B149" s="171" t="b">
        <v>1</v>
      </c>
      <c r="C149" s="171" t="b">
        <v>1</v>
      </c>
      <c r="D149" s="171" t="b">
        <v>1</v>
      </c>
      <c r="E149" s="186" t="s">
        <v>666</v>
      </c>
      <c r="F149" s="186" t="s">
        <v>666</v>
      </c>
      <c r="G149" s="564">
        <v>2</v>
      </c>
      <c r="H149" s="565"/>
      <c r="I149" s="564" t="s">
        <v>666</v>
      </c>
      <c r="J149" s="565"/>
      <c r="K149"/>
      <c r="L149" t="b">
        <v>1</v>
      </c>
      <c r="M149"/>
      <c r="N149"/>
    </row>
    <row r="150" spans="1:14" ht="21.75" customHeight="1">
      <c r="A150" s="13"/>
      <c r="E150" s="251"/>
      <c r="F150" s="251"/>
      <c r="G150" s="251"/>
      <c r="H150" s="251"/>
      <c r="I150" s="251"/>
      <c r="J150" s="251"/>
      <c r="K150"/>
      <c r="L150"/>
      <c r="M150"/>
      <c r="N150"/>
    </row>
    <row r="151" spans="1:14" ht="21.75" customHeight="1">
      <c r="B151" s="182" t="s">
        <v>1586</v>
      </c>
      <c r="C151" s="182" t="s">
        <v>1587</v>
      </c>
      <c r="D151" s="168"/>
      <c r="E151" s="168"/>
      <c r="F151" s="168"/>
      <c r="G151" s="168"/>
      <c r="H151" s="168"/>
      <c r="I151" s="168"/>
      <c r="J151" s="168"/>
      <c r="K151" s="168"/>
      <c r="L151" s="168"/>
      <c r="M151" s="168"/>
      <c r="N151"/>
    </row>
    <row r="152" spans="1:14" ht="21.75" customHeight="1">
      <c r="B152" s="168" t="b">
        <v>0</v>
      </c>
      <c r="C152" s="168" t="b">
        <v>0</v>
      </c>
      <c r="D152" s="168"/>
      <c r="E152" s="168"/>
      <c r="F152" s="168"/>
      <c r="G152" s="168"/>
      <c r="H152" s="168"/>
      <c r="I152" s="168"/>
      <c r="J152" s="168"/>
      <c r="K152" s="168"/>
      <c r="L152" s="168"/>
      <c r="M152" s="168"/>
      <c r="N152"/>
    </row>
    <row r="153" spans="1:14" ht="32.25" customHeight="1">
      <c r="A153" s="560"/>
      <c r="B153" s="562" t="str">
        <f>"The factory had established management procedures for recruitment, working hours, remuneration, training, disciplinary action, promotion, and dismissal to avoid precarious employment relationship. "&amp;IF(B152=FALSE, "There was no dispatched worker, all workers were recruited directly by the factory. ","")&amp;IF(B149=TRUE, "All sample workers' employment contracts were provided for review. ","")&amp;IF(C146=TRUE,IF(D146&lt;&gt;0,"The probation period was stipulated as at most "&amp;D146&amp;" months. ","There was no probation period stipulated. "),"")&amp;IF(C149=TRUE, "Each worker could get one copy of the employment contract. ","")&amp;IF(E149="Yes","Non-fixed term employment contracts were approached to those workers who met certain conditions. ", IF(E149="No","",""))&amp;IF(F149="Yes","The occupational disease warning information was written in the employment contract. ", IF(F149="No","",""))&amp;IF(I149="Yes","The factory signed labor agreements with those retired workers. ", IF(I149="No","",""))</f>
        <v xml:space="preserve">The factory had established management procedures for recruitment, working hours, remuneration, training, disciplinary action, promotion, and dismissal to avoid precarious employment relationship. There was no dispatched worker, all workers were recruited directly by the factory. All sample workers' employment contracts were provided for review. The probation period was stipulated as at most 3 months. Each worker could get one copy of the employment contract. </v>
      </c>
      <c r="C153" s="562"/>
      <c r="D153" s="562"/>
      <c r="E153" s="562"/>
      <c r="F153" s="562"/>
      <c r="G153" s="562"/>
      <c r="H153" s="562"/>
      <c r="I153" s="562"/>
      <c r="J153" s="562"/>
      <c r="K153" s="562"/>
      <c r="L153" s="562"/>
      <c r="M153" s="562"/>
      <c r="N153" s="168"/>
    </row>
    <row r="154" spans="1:14" ht="52.5" customHeight="1">
      <c r="A154" s="560"/>
      <c r="B154" s="562" t="str">
        <f>"工厂建立了招聘，工时，薪酬，培训，惩戒，晋升和辞退的管理程序，以避免无保障的，不稳定的雇佣关系。"&amp;IF(B152=FALSE, "没有使用派遣工人，所有工人由工厂直接招聘。","")&amp;IF(B149=TRUE, "所有抽样员工的劳动合同被提供给审核。","")&amp;IF(C146=TRUE,IF(D146&lt;&gt;0,"约定的试用期最多是"&amp;D146&amp;"个月。","没有约定试用期。"),"")&amp;IF(C149=TRUE, "每个员工都获得了劳动合同的副本。", "")&amp;IF(E149="Yes","对符合条件的员工，工厂与他们签订了无固定期限合同。",IF(E149="No","",""))&amp;IF(F149="Yes","劳动合同中列明了关于职业病的提醒信息。", IF(F149="No","",""))&amp;IF(I149="Yes","工厂与那些已经退休的员工签订了劳务协议。", IF(I149="No","",""))</f>
        <v>工厂建立了招聘，工时，薪酬，培训，惩戒，晋升和辞退的管理程序，以避免无保障的，不稳定的雇佣关系。没有使用派遣工人，所有工人由工厂直接招聘。所有抽样员工的劳动合同被提供给审核。约定的试用期最多是3个月。每个员工都获得了劳动合同的副本。</v>
      </c>
      <c r="C154" s="562"/>
      <c r="D154" s="562"/>
      <c r="E154" s="562"/>
      <c r="F154" s="562"/>
      <c r="G154" s="562"/>
      <c r="H154" s="562"/>
      <c r="I154" s="562"/>
      <c r="J154" s="562"/>
      <c r="K154" s="562"/>
      <c r="L154" s="562"/>
      <c r="M154" s="562"/>
      <c r="N154" s="168"/>
    </row>
    <row r="155" spans="1:14" ht="21.75" customHeight="1">
      <c r="A155" s="1">
        <v>11.4</v>
      </c>
      <c r="B155" s="580" t="s">
        <v>1469</v>
      </c>
      <c r="C155" s="581"/>
      <c r="D155" s="172"/>
      <c r="E155" s="172"/>
      <c r="F155" s="172"/>
      <c r="G155" s="172"/>
      <c r="H155" s="172"/>
      <c r="I155" s="172"/>
      <c r="J155" s="172"/>
      <c r="K155" s="172"/>
      <c r="L155" s="172"/>
      <c r="M155" s="172"/>
      <c r="N155" s="168"/>
    </row>
    <row r="156" spans="1:14" ht="21.75" customHeight="1">
      <c r="B156" s="172" t="b">
        <v>1</v>
      </c>
      <c r="C156" s="172"/>
      <c r="D156" s="172"/>
      <c r="E156" s="172"/>
      <c r="F156" s="172"/>
      <c r="G156" s="172"/>
      <c r="H156" s="172"/>
      <c r="I156" s="172"/>
      <c r="J156" s="172"/>
      <c r="K156" s="172"/>
      <c r="L156" s="172"/>
      <c r="M156" s="172"/>
      <c r="N156" s="168"/>
    </row>
    <row r="157" spans="1:14" ht="51.75" customHeight="1">
      <c r="A157" s="1">
        <v>11</v>
      </c>
      <c r="B157" s="562" t="s">
        <v>1769</v>
      </c>
      <c r="C157" s="562"/>
      <c r="D157" s="562"/>
      <c r="E157" s="562"/>
      <c r="F157" s="562"/>
      <c r="G157" s="562"/>
      <c r="H157" s="562"/>
      <c r="I157" s="562"/>
      <c r="J157" s="562"/>
      <c r="K157" s="562"/>
      <c r="L157" s="562"/>
      <c r="M157" s="562"/>
      <c r="N157" s="562"/>
    </row>
    <row r="158" spans="1:14" ht="35.25" customHeight="1">
      <c r="B158" s="562" t="s">
        <v>1768</v>
      </c>
      <c r="C158" s="562"/>
      <c r="D158" s="562"/>
      <c r="E158" s="562"/>
      <c r="F158" s="562"/>
      <c r="G158" s="562"/>
      <c r="H158" s="562"/>
      <c r="I158" s="562"/>
      <c r="J158" s="562"/>
      <c r="K158" s="562"/>
      <c r="L158" s="562"/>
      <c r="M158" s="562"/>
      <c r="N158" s="562"/>
    </row>
    <row r="160" spans="1:14" ht="21.75" customHeight="1">
      <c r="B160" s="182" t="s">
        <v>1105</v>
      </c>
      <c r="C160" s="182" t="s">
        <v>1106</v>
      </c>
      <c r="D160" s="182" t="s">
        <v>1107</v>
      </c>
      <c r="E160" s="182" t="s">
        <v>1118</v>
      </c>
      <c r="F160" s="557" t="s">
        <v>1117</v>
      </c>
      <c r="G160" s="558"/>
    </row>
    <row r="161" spans="1:13" ht="21.75" customHeight="1">
      <c r="B161" s="186" t="s">
        <v>1758</v>
      </c>
      <c r="C161" s="171" t="b">
        <v>1</v>
      </c>
      <c r="D161" s="171" t="b">
        <v>1</v>
      </c>
      <c r="E161" s="171" t="b">
        <v>1</v>
      </c>
      <c r="F161" s="564" t="s">
        <v>666</v>
      </c>
      <c r="G161" s="565"/>
    </row>
    <row r="162" spans="1:13" ht="54" customHeight="1">
      <c r="A162" s="1">
        <v>12.3</v>
      </c>
      <c r="B162" s="562" t="str">
        <f>IF(B161="Report","The factory had commissioned a professional third-party company to conduct a detailed environmental impact assessment. "&amp;"The assessment report analyzed the environmental impact of production activities on the natural and social environment and proposes corresponding environmental protection measures. ",IF(B161="Registration","The factory production process was simple that there was no or little pollution activity, and it had conducted environment impact registration to the local environment protection bureau. ",""))&amp;IF(AND(B161="Report",D161=TRUE),"The acceptance report for the completion of environment protection project had been obtained. ","")&amp;IF(F161="Yes","The pollutant discharge permit had been obtained. ","")</f>
        <v xml:space="preserve">The factory had commissioned a professional third-party company to conduct a detailed environmental impact assessment. The assessment report analyzed the environmental impact of production activities on the natural and social environment and proposes corresponding environmental protection measures. The acceptance report for the completion of environment protection project had been obtained. </v>
      </c>
      <c r="C162" s="562"/>
      <c r="D162" s="562"/>
      <c r="E162" s="562"/>
      <c r="F162" s="562"/>
      <c r="G162" s="562"/>
      <c r="H162" s="562"/>
      <c r="I162" s="562"/>
      <c r="J162" s="562"/>
      <c r="K162" s="562"/>
      <c r="L162" s="562"/>
      <c r="M162" s="562"/>
    </row>
    <row r="163" spans="1:13" ht="39" customHeight="1">
      <c r="B163" s="562" t="str">
        <f>IF(B161="Report","工厂已经委托专业的第三方公司进行了详细的环境影响评价，该评价报告分析了生产活动对自然和社会环境可能带来的环境影响，提出了相应的环保措施。", IF(B161="Registration","工厂生产工序简单，没有或者很少污染活动，已经向当地环保部门进行了环境影响登记。",""))&amp;IF(AND(B161="Report",D161=TRUE),"环保工程已通过竣工验收。","")&amp;IF(F161="Yes","已经取得了排污许可证。","")</f>
        <v>工厂已经委托专业的第三方公司进行了详细的环境影响评价，该评价报告分析了生产活动对自然和社会环境可能带来的环境影响，提出了相应的环保措施。环保工程已通过竣工验收。</v>
      </c>
      <c r="C163" s="562"/>
      <c r="D163" s="562"/>
      <c r="E163" s="562"/>
      <c r="F163" s="562"/>
      <c r="G163" s="562"/>
      <c r="H163" s="562"/>
      <c r="I163" s="562"/>
      <c r="J163" s="562"/>
      <c r="K163" s="562"/>
      <c r="L163" s="562"/>
      <c r="M163" s="562"/>
    </row>
    <row r="164" spans="1:13" ht="21.75" customHeight="1">
      <c r="A164" s="559">
        <v>12.4</v>
      </c>
      <c r="B164" s="182" t="s">
        <v>1119</v>
      </c>
      <c r="C164" s="557" t="s">
        <v>1129</v>
      </c>
      <c r="D164" s="558"/>
      <c r="E164" s="557" t="s">
        <v>1127</v>
      </c>
      <c r="F164" s="558"/>
      <c r="G164" s="557" t="s">
        <v>1128</v>
      </c>
      <c r="H164" s="558"/>
      <c r="I164" s="371" t="s">
        <v>1121</v>
      </c>
      <c r="J164" s="371"/>
      <c r="K164" s="371"/>
      <c r="L164" s="371" t="s">
        <v>1122</v>
      </c>
      <c r="M164" s="371"/>
    </row>
    <row r="165" spans="1:13" ht="21.75" customHeight="1">
      <c r="A165" s="560"/>
      <c r="B165" s="176" t="b">
        <v>1</v>
      </c>
      <c r="C165" s="583" t="b">
        <v>1</v>
      </c>
      <c r="D165" s="583"/>
      <c r="E165" s="583" t="b">
        <v>1</v>
      </c>
      <c r="F165" s="583"/>
      <c r="G165" s="583" t="b">
        <v>1</v>
      </c>
      <c r="H165" s="583"/>
      <c r="I165" s="371" t="s">
        <v>1120</v>
      </c>
      <c r="J165" s="371"/>
      <c r="K165" s="371"/>
      <c r="L165" s="371" t="s">
        <v>1123</v>
      </c>
      <c r="M165" s="371"/>
    </row>
    <row r="166" spans="1:13" ht="21.75" customHeight="1">
      <c r="B166" s="195"/>
      <c r="C166" s="196"/>
      <c r="D166" s="196"/>
      <c r="E166" s="196"/>
      <c r="F166" s="196"/>
      <c r="G166" s="196"/>
      <c r="H166" s="196"/>
      <c r="I166" s="371" t="s">
        <v>1575</v>
      </c>
      <c r="J166" s="371"/>
      <c r="K166" s="371"/>
      <c r="L166" s="371" t="s">
        <v>1318</v>
      </c>
      <c r="M166" s="371"/>
    </row>
    <row r="167" spans="1:13" ht="21.75" customHeight="1">
      <c r="B167" s="248"/>
      <c r="C167" s="13"/>
      <c r="D167" s="13"/>
      <c r="E167" s="13"/>
      <c r="F167" s="13"/>
      <c r="G167" s="371" t="s">
        <v>1574</v>
      </c>
      <c r="H167" s="371"/>
      <c r="I167" s="371" t="s">
        <v>1124</v>
      </c>
      <c r="J167" s="371"/>
      <c r="K167" s="1" t="s">
        <v>1126</v>
      </c>
      <c r="L167" s="371" t="s">
        <v>1125</v>
      </c>
      <c r="M167" s="371"/>
    </row>
    <row r="168" spans="1:13" ht="32.25" customHeight="1">
      <c r="B168" s="562" t="str">
        <f>IF(B165=TRUE, IF(C165=TRUE,"The hazardous wastes generated by the production process were collected and disposed by a qualified third-party supplier.",""), "")&amp;IF(B165=TRUE, IF(E165=TRUE,"The transfer manifests were kept and provided for review. ",""), "")&amp;IF(B165=TRUE, IF(G165=TRUE,"A special warehouse was designed and designated to store hazardous waste. ",""), "")</f>
        <v xml:space="preserve">The hazardous wastes generated by the production process were collected and disposed by a qualified third-party supplier.The transfer manifests were kept and provided for review. A special warehouse was designed and designated to store hazardous waste. </v>
      </c>
      <c r="C168" s="562"/>
      <c r="D168" s="562"/>
      <c r="E168" s="562"/>
      <c r="F168" s="562"/>
      <c r="G168" s="562"/>
      <c r="H168" s="562"/>
      <c r="I168" s="562"/>
      <c r="J168" s="562"/>
      <c r="K168" s="562"/>
      <c r="L168" s="562"/>
      <c r="M168" s="562"/>
    </row>
    <row r="169" spans="1:13" ht="21.75" customHeight="1">
      <c r="B169" s="562" t="str">
        <f>IF(B165=TRUE, IF(C165=TRUE,"生产过程中产生的危险废物由合格的第三方供应商收集和处理。",""), "")&amp;IF(B165=TRUE, IF(E165=TRUE,"转移联单被保留且提供给了审核。",""), "")&amp;IF(B165=TRUE, IF(G165=TRUE,"设置了一个专用的危险废弃物仓库。",""), "")</f>
        <v>生产过程中产生的危险废物由合格的第三方供应商收集和处理。转移联单被保留且提供给了审核。设置了一个专用的危险废弃物仓库。</v>
      </c>
      <c r="C169" s="562"/>
      <c r="D169" s="562"/>
      <c r="E169" s="562"/>
      <c r="F169" s="562"/>
      <c r="G169" s="562"/>
      <c r="H169" s="562"/>
      <c r="I169" s="562"/>
      <c r="J169" s="562"/>
      <c r="K169" s="562"/>
      <c r="L169" s="562"/>
      <c r="M169" s="562"/>
    </row>
    <row r="170" spans="1:13" ht="21.75" customHeight="1">
      <c r="A170" s="1">
        <v>13.2</v>
      </c>
      <c r="B170" s="182" t="s">
        <v>1508</v>
      </c>
      <c r="C170" s="182" t="s">
        <v>1568</v>
      </c>
      <c r="D170" s="172"/>
      <c r="E170" s="172"/>
      <c r="F170" s="172"/>
      <c r="G170" s="172"/>
      <c r="H170" s="172"/>
      <c r="I170" s="172"/>
      <c r="J170" s="172"/>
      <c r="K170" s="172"/>
      <c r="L170" s="172"/>
      <c r="M170" s="172"/>
    </row>
    <row r="171" spans="1:13" ht="21.75" customHeight="1">
      <c r="B171" s="172" t="b">
        <v>1</v>
      </c>
      <c r="C171" s="172" t="b">
        <v>1</v>
      </c>
      <c r="D171" s="172"/>
      <c r="E171" s="172"/>
      <c r="F171" s="172"/>
      <c r="G171" s="172"/>
      <c r="H171" s="172"/>
      <c r="I171" s="172"/>
      <c r="J171" s="172"/>
      <c r="K171" s="172"/>
      <c r="L171" s="172"/>
      <c r="M171" s="172"/>
    </row>
    <row r="172" spans="1:13" ht="21.75" customHeight="1">
      <c r="A172" s="560">
        <v>13.4</v>
      </c>
      <c r="B172" s="182" t="s">
        <v>1466</v>
      </c>
    </row>
    <row r="173" spans="1:13" ht="21.75" customHeight="1">
      <c r="A173" s="560"/>
      <c r="B173" s="1" t="b">
        <v>1</v>
      </c>
    </row>
    <row r="174" spans="1:13" ht="21.75" customHeight="1">
      <c r="B174" s="562" t="s">
        <v>1474</v>
      </c>
      <c r="C174" s="562"/>
      <c r="D174" s="562"/>
      <c r="E174" s="562"/>
      <c r="F174" s="562"/>
      <c r="G174" s="562"/>
      <c r="H174" s="562"/>
      <c r="I174" s="562"/>
      <c r="J174" s="562"/>
      <c r="K174" s="562"/>
      <c r="L174" s="562"/>
      <c r="M174" s="562"/>
    </row>
    <row r="175" spans="1:13" ht="21.75" customHeight="1">
      <c r="B175" s="562" t="s">
        <v>1473</v>
      </c>
      <c r="C175" s="562"/>
      <c r="D175" s="562"/>
      <c r="E175" s="562"/>
      <c r="F175" s="562"/>
      <c r="G175" s="562"/>
      <c r="H175" s="562"/>
      <c r="I175" s="562"/>
      <c r="J175" s="562"/>
      <c r="K175" s="562"/>
      <c r="L175" s="562"/>
      <c r="M175" s="562"/>
    </row>
  </sheetData>
  <sheetProtection formatCells="0"/>
  <mergeCells count="158">
    <mergeCell ref="A15:A16"/>
    <mergeCell ref="B20:M20"/>
    <mergeCell ref="A19:A20"/>
    <mergeCell ref="B17:M17"/>
    <mergeCell ref="B18:M18"/>
    <mergeCell ref="B38:B39"/>
    <mergeCell ref="B24:M24"/>
    <mergeCell ref="B35:M35"/>
    <mergeCell ref="B31:M31"/>
    <mergeCell ref="B15:C15"/>
    <mergeCell ref="B19:M19"/>
    <mergeCell ref="A35:A36"/>
    <mergeCell ref="C38:C39"/>
    <mergeCell ref="C16:D16"/>
    <mergeCell ref="B36:M36"/>
    <mergeCell ref="B30:M30"/>
    <mergeCell ref="J22:K22"/>
    <mergeCell ref="B25:M25"/>
    <mergeCell ref="E38:E39"/>
    <mergeCell ref="D38:D39"/>
    <mergeCell ref="I4:M4"/>
    <mergeCell ref="B41:C41"/>
    <mergeCell ref="C64:M64"/>
    <mergeCell ref="C57:D57"/>
    <mergeCell ref="E57:F57"/>
    <mergeCell ref="B45:M45"/>
    <mergeCell ref="G56:J56"/>
    <mergeCell ref="C56:F56"/>
    <mergeCell ref="E62:F63"/>
    <mergeCell ref="G53:J53"/>
    <mergeCell ref="F43:M43"/>
    <mergeCell ref="B46:M46"/>
    <mergeCell ref="B48:M48"/>
    <mergeCell ref="B49:M49"/>
    <mergeCell ref="B47:M47"/>
    <mergeCell ref="B64:B65"/>
    <mergeCell ref="B50:M50"/>
    <mergeCell ref="B44:M44"/>
    <mergeCell ref="B43:E43"/>
    <mergeCell ref="B51:C51"/>
    <mergeCell ref="C52:F52"/>
    <mergeCell ref="B8:D8"/>
    <mergeCell ref="J33:K33"/>
    <mergeCell ref="J34:K34"/>
    <mergeCell ref="G167:H167"/>
    <mergeCell ref="B105:M105"/>
    <mergeCell ref="L166:M166"/>
    <mergeCell ref="B129:M129"/>
    <mergeCell ref="B120:C120"/>
    <mergeCell ref="B121:C121"/>
    <mergeCell ref="H131:I131"/>
    <mergeCell ref="B2:C2"/>
    <mergeCell ref="L165:M165"/>
    <mergeCell ref="B162:M162"/>
    <mergeCell ref="B154:M154"/>
    <mergeCell ref="I164:K164"/>
    <mergeCell ref="I165:K165"/>
    <mergeCell ref="G148:H148"/>
    <mergeCell ref="B140:M140"/>
    <mergeCell ref="B142:M142"/>
    <mergeCell ref="F144:G144"/>
    <mergeCell ref="E164:F164"/>
    <mergeCell ref="B157:N157"/>
    <mergeCell ref="B158:N158"/>
    <mergeCell ref="E75:G75"/>
    <mergeCell ref="E76:G76"/>
    <mergeCell ref="B5:M5"/>
    <mergeCell ref="B4:H4"/>
    <mergeCell ref="B175:M175"/>
    <mergeCell ref="E84:F84"/>
    <mergeCell ref="B115:C115"/>
    <mergeCell ref="D115:E115"/>
    <mergeCell ref="B102:M102"/>
    <mergeCell ref="C165:D165"/>
    <mergeCell ref="G164:H164"/>
    <mergeCell ref="B174:M174"/>
    <mergeCell ref="A172:A173"/>
    <mergeCell ref="A103:A104"/>
    <mergeCell ref="A96:A97"/>
    <mergeCell ref="B114:N114"/>
    <mergeCell ref="B132:N132"/>
    <mergeCell ref="C164:D164"/>
    <mergeCell ref="E165:F165"/>
    <mergeCell ref="G165:H165"/>
    <mergeCell ref="E123:F123"/>
    <mergeCell ref="D116:E116"/>
    <mergeCell ref="L167:M167"/>
    <mergeCell ref="B143:M143"/>
    <mergeCell ref="B153:M153"/>
    <mergeCell ref="G149:H149"/>
    <mergeCell ref="B147:M147"/>
    <mergeCell ref="I166:K166"/>
    <mergeCell ref="B169:M169"/>
    <mergeCell ref="D103:E103"/>
    <mergeCell ref="B98:M98"/>
    <mergeCell ref="B109:M109"/>
    <mergeCell ref="B81:M81"/>
    <mergeCell ref="B110:M110"/>
    <mergeCell ref="B168:M168"/>
    <mergeCell ref="B155:C155"/>
    <mergeCell ref="B106:M106"/>
    <mergeCell ref="B99:M99"/>
    <mergeCell ref="L164:M164"/>
    <mergeCell ref="B126:M126"/>
    <mergeCell ref="I148:J148"/>
    <mergeCell ref="I149:J149"/>
    <mergeCell ref="F160:G160"/>
    <mergeCell ref="B163:M163"/>
    <mergeCell ref="B122:M122"/>
    <mergeCell ref="B113:N113"/>
    <mergeCell ref="B136:N136"/>
    <mergeCell ref="C123:D123"/>
    <mergeCell ref="B133:N133"/>
    <mergeCell ref="H130:I130"/>
    <mergeCell ref="B125:M125"/>
    <mergeCell ref="I167:J167"/>
    <mergeCell ref="A89:A90"/>
    <mergeCell ref="A100:A101"/>
    <mergeCell ref="A87:A88"/>
    <mergeCell ref="B89:M89"/>
    <mergeCell ref="B116:C116"/>
    <mergeCell ref="B85:M85"/>
    <mergeCell ref="B86:M86"/>
    <mergeCell ref="C84:D84"/>
    <mergeCell ref="A83:A84"/>
    <mergeCell ref="I62:I63"/>
    <mergeCell ref="B66:M66"/>
    <mergeCell ref="K75:L76"/>
    <mergeCell ref="E83:F83"/>
    <mergeCell ref="C65:M65"/>
    <mergeCell ref="A66:A67"/>
    <mergeCell ref="A68:A69"/>
    <mergeCell ref="C83:D83"/>
    <mergeCell ref="B73:M73"/>
    <mergeCell ref="G52:J52"/>
    <mergeCell ref="G103:H103"/>
    <mergeCell ref="A164:A165"/>
    <mergeCell ref="A153:A154"/>
    <mergeCell ref="A148:A149"/>
    <mergeCell ref="B90:M90"/>
    <mergeCell ref="A118:A119"/>
    <mergeCell ref="A120:A121"/>
    <mergeCell ref="G121:N121"/>
    <mergeCell ref="F161:G161"/>
    <mergeCell ref="B137:N137"/>
    <mergeCell ref="B141:M141"/>
    <mergeCell ref="A134:A135"/>
    <mergeCell ref="B69:M69"/>
    <mergeCell ref="B67:M67"/>
    <mergeCell ref="B74:M74"/>
    <mergeCell ref="H75:J75"/>
    <mergeCell ref="B82:M82"/>
    <mergeCell ref="H76:J76"/>
    <mergeCell ref="B68:M68"/>
    <mergeCell ref="A73:A74"/>
    <mergeCell ref="C54:F54"/>
    <mergeCell ref="G54:J54"/>
    <mergeCell ref="L62:L63"/>
  </mergeCells>
  <phoneticPr fontId="81" type="noConversion"/>
  <conditionalFormatting sqref="B159">
    <cfRule type="expression" dxfId="22" priority="104">
      <formula>AND(XFB158=TRUE, XFB159=FALSE)</formula>
    </cfRule>
  </conditionalFormatting>
  <conditionalFormatting sqref="F139">
    <cfRule type="expression" dxfId="21" priority="87">
      <formula>AND(B138=TRUE, B139=FALSE)</formula>
    </cfRule>
  </conditionalFormatting>
  <conditionalFormatting sqref="B162">
    <cfRule type="expression" dxfId="20" priority="69">
      <formula>AND(XFB159=TRUE, XFB162=FALSE)</formula>
    </cfRule>
  </conditionalFormatting>
  <conditionalFormatting sqref="B152:B154 B156">
    <cfRule type="expression" dxfId="19" priority="53">
      <formula>AND(XFB147=TRUE, XFB152=FALSE)</formula>
    </cfRule>
  </conditionalFormatting>
  <conditionalFormatting sqref="G133">
    <cfRule type="expression" dxfId="18" priority="198">
      <formula>AND(#REF!=TRUE, C133=FALSE)</formula>
    </cfRule>
  </conditionalFormatting>
  <conditionalFormatting sqref="B137">
    <cfRule type="expression" dxfId="17" priority="199">
      <formula>AND(#REF!=TRUE, XFB137=FALSE)</formula>
    </cfRule>
  </conditionalFormatting>
  <conditionalFormatting sqref="G128:H128 G127 J128:N128 K127:N127">
    <cfRule type="expression" dxfId="16" priority="210">
      <formula>AND(#REF!=TRUE, C127=FALSE)</formula>
    </cfRule>
  </conditionalFormatting>
  <conditionalFormatting sqref="B149:B150">
    <cfRule type="expression" dxfId="15" priority="214">
      <formula>AND(#REF!=TRUE, XFB149=FALSE)</formula>
    </cfRule>
  </conditionalFormatting>
  <conditionalFormatting sqref="B163">
    <cfRule type="expression" dxfId="14" priority="25">
      <formula>AND(XFB160=TRUE, XFB163=FALSE)</formula>
    </cfRule>
  </conditionalFormatting>
  <conditionalFormatting sqref="G59:G61">
    <cfRule type="expression" dxfId="13" priority="16">
      <formula>G59:G61&gt;3</formula>
    </cfRule>
  </conditionalFormatting>
  <conditionalFormatting sqref="I59:I61">
    <cfRule type="expression" dxfId="12" priority="15">
      <formula>I59:I61&gt;6</formula>
    </cfRule>
  </conditionalFormatting>
  <conditionalFormatting sqref="B168">
    <cfRule type="expression" dxfId="11" priority="219">
      <formula>AND(#REF!=TRUE, XFB168=FALSE)</formula>
    </cfRule>
  </conditionalFormatting>
  <conditionalFormatting sqref="B147 B169 B171">
    <cfRule type="expression" dxfId="10" priority="14">
      <formula>AND(#REF!=TRUE, XFB147=FALSE)</formula>
    </cfRule>
  </conditionalFormatting>
  <conditionalFormatting sqref="B174">
    <cfRule type="expression" dxfId="9" priority="12">
      <formula>AND(#REF!=TRUE, XFB174=FALSE)</formula>
    </cfRule>
  </conditionalFormatting>
  <conditionalFormatting sqref="B175">
    <cfRule type="expression" dxfId="8" priority="11">
      <formula>AND(#REF!=TRUE, XFB175=FALSE)</formula>
    </cfRule>
  </conditionalFormatting>
  <conditionalFormatting sqref="D53:E53 D55:F55">
    <cfRule type="cellIs" dxfId="7" priority="10" operator="equal">
      <formula>24</formula>
    </cfRule>
  </conditionalFormatting>
  <conditionalFormatting sqref="G96">
    <cfRule type="expression" dxfId="6" priority="7">
      <formula>"isblank(G100)"</formula>
    </cfRule>
  </conditionalFormatting>
  <conditionalFormatting sqref="E96">
    <cfRule type="expression" dxfId="5" priority="6">
      <formula>"IF(OR(B101=FALSE,D101=FALSE))"</formula>
    </cfRule>
  </conditionalFormatting>
  <conditionalFormatting sqref="B127:E128">
    <cfRule type="expression" dxfId="4" priority="5">
      <formula>AND(#REF!=TRUE, XFB127=FALSE)</formula>
    </cfRule>
  </conditionalFormatting>
  <conditionalFormatting sqref="D59">
    <cfRule type="cellIs" dxfId="3" priority="3" operator="greaterThan">
      <formula>$C$59</formula>
    </cfRule>
  </conditionalFormatting>
  <conditionalFormatting sqref="D60">
    <cfRule type="cellIs" dxfId="2" priority="2" operator="greaterThan">
      <formula>$C$60</formula>
    </cfRule>
  </conditionalFormatting>
  <conditionalFormatting sqref="D61">
    <cfRule type="cellIs" dxfId="1" priority="1" operator="greaterThan">
      <formula>$C$61</formula>
    </cfRule>
  </conditionalFormatting>
  <dataValidations count="9">
    <dataValidation type="list" allowBlank="1" showInputMessage="1" showErrorMessage="1" sqref="B33" xr:uid="{0B7900F7-29DF-4EE4-B484-16CBFBA7FEF5}">
      <formula1>"monthly, hourly, piece rate"</formula1>
    </dataValidation>
    <dataValidation type="list" allowBlank="1" showInputMessage="1" showErrorMessage="1" sqref="D33" xr:uid="{686EF2F6-2FAD-45C0-8389-98C9C22406B5}">
      <formula1>"in cash, by bank transfer"</formula1>
    </dataValidation>
    <dataValidation type="list" allowBlank="1" showInputMessage="1" showErrorMessage="1" sqref="F158" xr:uid="{2FDBCFC3-4E9C-4147-8747-C2CDC84A8A53}">
      <formula1>"Yes, No, N/A"</formula1>
    </dataValidation>
    <dataValidation type="list" allowBlank="1" showInputMessage="1" showErrorMessage="1" sqref="C112 I128 E149:E152 F149:F150 F161 I149:I150 F101" xr:uid="{460B94B3-4BCC-442E-B87E-757301C2EB25}">
      <formula1>"Yes,No,N/A"</formula1>
    </dataValidation>
    <dataValidation type="list" allowBlank="1" showInputMessage="1" showErrorMessage="1" sqref="D119" xr:uid="{756B243C-2ED9-43B1-B641-DC1357B11A0F}">
      <formula1>"Yes,No, N/A"</formula1>
    </dataValidation>
    <dataValidation type="list" allowBlank="1" showInputMessage="1" showErrorMessage="1" sqref="C57:D57" xr:uid="{2BD9CEFC-426D-47BA-8D3C-2413E57040AA}">
      <formula1>"Electronic swipe-card machine, Fingerprint machine, Face-recognition machine"</formula1>
    </dataValidation>
    <dataValidation type="list" allowBlank="1" showInputMessage="1" showErrorMessage="1" sqref="B121:C121" xr:uid="{4206C94C-C944-40C8-B742-08E0C5702A11}">
      <formula1>"Boiled filtered water,Bottled water"</formula1>
    </dataValidation>
    <dataValidation type="list" allowBlank="1" showInputMessage="1" showErrorMessage="1" sqref="F145" xr:uid="{1CD4E51C-DC54-4A88-8EAD-0EBF5304A6B0}">
      <formula1>"江苏, 辽宁, 甘肃"</formula1>
    </dataValidation>
    <dataValidation type="list" allowBlank="1" showInputMessage="1" showErrorMessage="1" sqref="B161" xr:uid="{CCFA168D-642B-4F08-958F-9775C03E6613}">
      <formula1>"No, Registration, Report"</formula1>
    </dataValidation>
  </dataValidations>
  <hyperlinks>
    <hyperlink ref="E32" location="payroll_item" display="Payroll items" xr:uid="{9678D63A-139F-43D1-8AFA-4CBB092E2354}"/>
    <hyperlink ref="G32" location="Pay_slip" display="Pay slip" xr:uid="{35ED08FF-66FA-4FC5-B13E-793191ED0F4A}"/>
    <hyperlink ref="H32" location="Delay_payment" display="Paid on time" xr:uid="{90581F71-A886-4DCA-A4EC-B67480BD3B13}"/>
    <hyperlink ref="I32" location="Payment_date_for_resignated" display="Resigned pay" xr:uid="{E5A713DC-9D8E-47CA-88D8-33B8F13A8F31}"/>
    <hyperlink ref="B111" location="Reference!B185" display="Safety guard" xr:uid="{0FB33FA9-6DAD-48D7-BE4F-E7F4CFFE05AD}"/>
    <hyperlink ref="B148" location="Reference!B336" display="Labor contracts" xr:uid="{A747F93D-82EA-46DC-8E6C-53C1F978BFA1}"/>
    <hyperlink ref="C148" location="Reference!B342" display="Contract copy" xr:uid="{13AA0A03-0094-48E4-9DF6-084D2B3F2742}"/>
    <hyperlink ref="D148" location="Reference!B348" display="Mandatory items" xr:uid="{ED1787C6-958A-4FEC-B60A-1A70C1F91729}"/>
    <hyperlink ref="E148" location="Reference!B354" display="Non-fixed" xr:uid="{74A3A40E-2E13-4801-BBAF-1BB71CD6978C}"/>
    <hyperlink ref="F148" location="Reference!B359" display="OHDreminder" xr:uid="{6F47BA9C-ADB6-4827-ABDF-23CF66E954F5}"/>
    <hyperlink ref="B100" location="Reference!B228" display="电工证" xr:uid="{F041238D-073E-45EE-A0DD-56D003748C19}"/>
    <hyperlink ref="C100" location="Reference!B235" display="复审" xr:uid="{017C34A1-B08D-4BC4-9412-AB8E673FAEF7}"/>
    <hyperlink ref="D100" location="Reference!B143" display="电箱畅通" xr:uid="{39C235AB-AC48-4056-B69F-80445AB6AD3C}"/>
    <hyperlink ref="E100" location="Reference!B149" display="LoTo" xr:uid="{C2131380-CB73-4DC3-A1FC-33247CD2D5F4}"/>
    <hyperlink ref="F100" location="Reference!B154" display="防爆开关" xr:uid="{DB2E1051-84F1-48F5-A178-69AF7DBEB1C5}"/>
    <hyperlink ref="G100" location="Reference!B159" display="绝缘状态" xr:uid="{ECA44241-6E1E-4D66-B1F5-7A41C2400A68}"/>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6593" r:id="rId4" name="Check Box 1">
              <controlPr defaultSize="0" autoFill="0" autoLine="0" autoPict="0">
                <anchor moveWithCells="1">
                  <from>
                    <xdr:col>1</xdr:col>
                    <xdr:colOff>12700</xdr:colOff>
                    <xdr:row>52</xdr:row>
                    <xdr:rowOff>19050</xdr:rowOff>
                  </from>
                  <to>
                    <xdr:col>1</xdr:col>
                    <xdr:colOff>1009650</xdr:colOff>
                    <xdr:row>53</xdr:row>
                    <xdr:rowOff>0</xdr:rowOff>
                  </to>
                </anchor>
              </controlPr>
            </control>
          </mc:Choice>
        </mc:AlternateContent>
        <mc:AlternateContent xmlns:mc="http://schemas.openxmlformats.org/markup-compatibility/2006">
          <mc:Choice Requires="x14">
            <control shapeId="366594" r:id="rId5" name="Check Box 2">
              <controlPr defaultSize="0" autoFill="0" autoLine="0" autoPict="0">
                <anchor moveWithCells="1">
                  <from>
                    <xdr:col>1</xdr:col>
                    <xdr:colOff>12700</xdr:colOff>
                    <xdr:row>54</xdr:row>
                    <xdr:rowOff>31750</xdr:rowOff>
                  </from>
                  <to>
                    <xdr:col>1</xdr:col>
                    <xdr:colOff>990600</xdr:colOff>
                    <xdr:row>55</xdr:row>
                    <xdr:rowOff>0</xdr:rowOff>
                  </to>
                </anchor>
              </controlPr>
            </control>
          </mc:Choice>
        </mc:AlternateContent>
        <mc:AlternateContent xmlns:mc="http://schemas.openxmlformats.org/markup-compatibility/2006">
          <mc:Choice Requires="x14">
            <control shapeId="366626" r:id="rId6" name="Check Box 34">
              <controlPr defaultSize="0" autoFill="0" autoLine="0" autoPict="0">
                <anchor moveWithCells="1">
                  <from>
                    <xdr:col>6</xdr:col>
                    <xdr:colOff>12700</xdr:colOff>
                    <xdr:row>87</xdr:row>
                    <xdr:rowOff>19050</xdr:rowOff>
                  </from>
                  <to>
                    <xdr:col>7</xdr:col>
                    <xdr:colOff>88900</xdr:colOff>
                    <xdr:row>87</xdr:row>
                    <xdr:rowOff>266700</xdr:rowOff>
                  </to>
                </anchor>
              </controlPr>
            </control>
          </mc:Choice>
        </mc:AlternateContent>
        <mc:AlternateContent xmlns:mc="http://schemas.openxmlformats.org/markup-compatibility/2006">
          <mc:Choice Requires="x14">
            <control shapeId="366627" r:id="rId7" name="Check Box 35">
              <controlPr defaultSize="0" autoFill="0" autoLine="0" autoPict="0">
                <anchor moveWithCells="1">
                  <from>
                    <xdr:col>7</xdr:col>
                    <xdr:colOff>12700</xdr:colOff>
                    <xdr:row>87</xdr:row>
                    <xdr:rowOff>19050</xdr:rowOff>
                  </from>
                  <to>
                    <xdr:col>7</xdr:col>
                    <xdr:colOff>793750</xdr:colOff>
                    <xdr:row>87</xdr:row>
                    <xdr:rowOff>266700</xdr:rowOff>
                  </to>
                </anchor>
              </controlPr>
            </control>
          </mc:Choice>
        </mc:AlternateContent>
        <mc:AlternateContent xmlns:mc="http://schemas.openxmlformats.org/markup-compatibility/2006">
          <mc:Choice Requires="x14">
            <control shapeId="366672" r:id="rId8" name="Check Box 80">
              <controlPr defaultSize="0" autoFill="0" autoLine="0" autoPict="0">
                <anchor moveWithCells="1">
                  <from>
                    <xdr:col>1</xdr:col>
                    <xdr:colOff>12700</xdr:colOff>
                    <xdr:row>130</xdr:row>
                    <xdr:rowOff>12700</xdr:rowOff>
                  </from>
                  <to>
                    <xdr:col>1</xdr:col>
                    <xdr:colOff>1104900</xdr:colOff>
                    <xdr:row>130</xdr:row>
                    <xdr:rowOff>266700</xdr:rowOff>
                  </to>
                </anchor>
              </controlPr>
            </control>
          </mc:Choice>
        </mc:AlternateContent>
        <mc:AlternateContent xmlns:mc="http://schemas.openxmlformats.org/markup-compatibility/2006">
          <mc:Choice Requires="x14">
            <control shapeId="366674" r:id="rId9" name="Check Box 82">
              <controlPr defaultSize="0" autoFill="0" autoLine="0" autoPict="0">
                <anchor moveWithCells="1">
                  <from>
                    <xdr:col>1</xdr:col>
                    <xdr:colOff>12700</xdr:colOff>
                    <xdr:row>134</xdr:row>
                    <xdr:rowOff>12700</xdr:rowOff>
                  </from>
                  <to>
                    <xdr:col>1</xdr:col>
                    <xdr:colOff>1104900</xdr:colOff>
                    <xdr:row>134</xdr:row>
                    <xdr:rowOff>266700</xdr:rowOff>
                  </to>
                </anchor>
              </controlPr>
            </control>
          </mc:Choice>
        </mc:AlternateContent>
        <mc:AlternateContent xmlns:mc="http://schemas.openxmlformats.org/markup-compatibility/2006">
          <mc:Choice Requires="x14">
            <control shapeId="366680" r:id="rId10" name="Check Box 88">
              <controlPr defaultSize="0" autoFill="0" autoLine="0" autoPict="0">
                <anchor moveWithCells="1">
                  <from>
                    <xdr:col>1</xdr:col>
                    <xdr:colOff>12700</xdr:colOff>
                    <xdr:row>138</xdr:row>
                    <xdr:rowOff>12700</xdr:rowOff>
                  </from>
                  <to>
                    <xdr:col>1</xdr:col>
                    <xdr:colOff>1104900</xdr:colOff>
                    <xdr:row>138</xdr:row>
                    <xdr:rowOff>266700</xdr:rowOff>
                  </to>
                </anchor>
              </controlPr>
            </control>
          </mc:Choice>
        </mc:AlternateContent>
        <mc:AlternateContent xmlns:mc="http://schemas.openxmlformats.org/markup-compatibility/2006">
          <mc:Choice Requires="x14">
            <control shapeId="366703" r:id="rId11" name="Check Box 111">
              <controlPr defaultSize="0" autoFill="0" autoLine="0" autoPict="0">
                <anchor moveWithCells="1">
                  <from>
                    <xdr:col>1</xdr:col>
                    <xdr:colOff>12700</xdr:colOff>
                    <xdr:row>148</xdr:row>
                    <xdr:rowOff>12700</xdr:rowOff>
                  </from>
                  <to>
                    <xdr:col>1</xdr:col>
                    <xdr:colOff>1104900</xdr:colOff>
                    <xdr:row>148</xdr:row>
                    <xdr:rowOff>266700</xdr:rowOff>
                  </to>
                </anchor>
              </controlPr>
            </control>
          </mc:Choice>
        </mc:AlternateContent>
        <mc:AlternateContent xmlns:mc="http://schemas.openxmlformats.org/markup-compatibility/2006">
          <mc:Choice Requires="x14">
            <control shapeId="366709" r:id="rId12" name="Check Box 117">
              <controlPr defaultSize="0" autoFill="0" autoLine="0" autoPict="0">
                <anchor moveWithCells="1">
                  <from>
                    <xdr:col>2</xdr:col>
                    <xdr:colOff>12700</xdr:colOff>
                    <xdr:row>148</xdr:row>
                    <xdr:rowOff>12700</xdr:rowOff>
                  </from>
                  <to>
                    <xdr:col>2</xdr:col>
                    <xdr:colOff>908050</xdr:colOff>
                    <xdr:row>148</xdr:row>
                    <xdr:rowOff>266700</xdr:rowOff>
                  </to>
                </anchor>
              </controlPr>
            </control>
          </mc:Choice>
        </mc:AlternateContent>
        <mc:AlternateContent xmlns:mc="http://schemas.openxmlformats.org/markup-compatibility/2006">
          <mc:Choice Requires="x14">
            <control shapeId="366710" r:id="rId13" name="Check Box 118">
              <controlPr defaultSize="0" autoFill="0" autoLine="0" autoPict="0">
                <anchor moveWithCells="1">
                  <from>
                    <xdr:col>3</xdr:col>
                    <xdr:colOff>12700</xdr:colOff>
                    <xdr:row>148</xdr:row>
                    <xdr:rowOff>12700</xdr:rowOff>
                  </from>
                  <to>
                    <xdr:col>3</xdr:col>
                    <xdr:colOff>908050</xdr:colOff>
                    <xdr:row>148</xdr:row>
                    <xdr:rowOff>266700</xdr:rowOff>
                  </to>
                </anchor>
              </controlPr>
            </control>
          </mc:Choice>
        </mc:AlternateContent>
        <mc:AlternateContent xmlns:mc="http://schemas.openxmlformats.org/markup-compatibility/2006">
          <mc:Choice Requires="x14">
            <control shapeId="366716" r:id="rId14" name="Check Box 124">
              <controlPr defaultSize="0" autoFill="0" autoLine="0" autoPict="0">
                <anchor moveWithCells="1">
                  <from>
                    <xdr:col>2</xdr:col>
                    <xdr:colOff>12700</xdr:colOff>
                    <xdr:row>145</xdr:row>
                    <xdr:rowOff>12700</xdr:rowOff>
                  </from>
                  <to>
                    <xdr:col>2</xdr:col>
                    <xdr:colOff>908050</xdr:colOff>
                    <xdr:row>145</xdr:row>
                    <xdr:rowOff>266700</xdr:rowOff>
                  </to>
                </anchor>
              </controlPr>
            </control>
          </mc:Choice>
        </mc:AlternateContent>
        <mc:AlternateContent xmlns:mc="http://schemas.openxmlformats.org/markup-compatibility/2006">
          <mc:Choice Requires="x14">
            <control shapeId="366726" r:id="rId15" name="Check Box 134">
              <controlPr defaultSize="0" autoFill="0" autoLine="0" autoPict="0">
                <anchor moveWithCells="1">
                  <from>
                    <xdr:col>2</xdr:col>
                    <xdr:colOff>12700</xdr:colOff>
                    <xdr:row>164</xdr:row>
                    <xdr:rowOff>12700</xdr:rowOff>
                  </from>
                  <to>
                    <xdr:col>3</xdr:col>
                    <xdr:colOff>908050</xdr:colOff>
                    <xdr:row>164</xdr:row>
                    <xdr:rowOff>266700</xdr:rowOff>
                  </to>
                </anchor>
              </controlPr>
            </control>
          </mc:Choice>
        </mc:AlternateContent>
        <mc:AlternateContent xmlns:mc="http://schemas.openxmlformats.org/markup-compatibility/2006">
          <mc:Choice Requires="x14">
            <control shapeId="366727" r:id="rId16" name="Check Box 135">
              <controlPr defaultSize="0" autoFill="0" autoLine="0" autoPict="0">
                <anchor moveWithCells="1">
                  <from>
                    <xdr:col>4</xdr:col>
                    <xdr:colOff>12700</xdr:colOff>
                    <xdr:row>164</xdr:row>
                    <xdr:rowOff>12700</xdr:rowOff>
                  </from>
                  <to>
                    <xdr:col>5</xdr:col>
                    <xdr:colOff>908050</xdr:colOff>
                    <xdr:row>164</xdr:row>
                    <xdr:rowOff>266700</xdr:rowOff>
                  </to>
                </anchor>
              </controlPr>
            </control>
          </mc:Choice>
        </mc:AlternateContent>
        <mc:AlternateContent xmlns:mc="http://schemas.openxmlformats.org/markup-compatibility/2006">
          <mc:Choice Requires="x14">
            <control shapeId="366729" r:id="rId17" name="Check Box 137">
              <controlPr defaultSize="0" autoFill="0" autoLine="0" autoPict="0">
                <anchor moveWithCells="1">
                  <from>
                    <xdr:col>6</xdr:col>
                    <xdr:colOff>12700</xdr:colOff>
                    <xdr:row>164</xdr:row>
                    <xdr:rowOff>12700</xdr:rowOff>
                  </from>
                  <to>
                    <xdr:col>7</xdr:col>
                    <xdr:colOff>908050</xdr:colOff>
                    <xdr:row>164</xdr:row>
                    <xdr:rowOff>266700</xdr:rowOff>
                  </to>
                </anchor>
              </controlPr>
            </control>
          </mc:Choice>
        </mc:AlternateContent>
        <mc:AlternateContent xmlns:mc="http://schemas.openxmlformats.org/markup-compatibility/2006">
          <mc:Choice Requires="x14">
            <control shapeId="366731" r:id="rId18" name="Check Box 139">
              <controlPr defaultSize="0" autoFill="0" autoLine="0" autoPict="0">
                <anchor moveWithCells="1">
                  <from>
                    <xdr:col>1</xdr:col>
                    <xdr:colOff>12700</xdr:colOff>
                    <xdr:row>164</xdr:row>
                    <xdr:rowOff>12700</xdr:rowOff>
                  </from>
                  <to>
                    <xdr:col>1</xdr:col>
                    <xdr:colOff>1104900</xdr:colOff>
                    <xdr:row>164</xdr:row>
                    <xdr:rowOff>266700</xdr:rowOff>
                  </to>
                </anchor>
              </controlPr>
            </control>
          </mc:Choice>
        </mc:AlternateContent>
        <mc:AlternateContent xmlns:mc="http://schemas.openxmlformats.org/markup-compatibility/2006">
          <mc:Choice Requires="x14">
            <control shapeId="366732" r:id="rId19" name="Check Box 140">
              <controlPr defaultSize="0" autoFill="0" autoLine="0" autoPict="0">
                <anchor moveWithCells="1">
                  <from>
                    <xdr:col>6</xdr:col>
                    <xdr:colOff>12700</xdr:colOff>
                    <xdr:row>130</xdr:row>
                    <xdr:rowOff>12700</xdr:rowOff>
                  </from>
                  <to>
                    <xdr:col>6</xdr:col>
                    <xdr:colOff>908050</xdr:colOff>
                    <xdr:row>130</xdr:row>
                    <xdr:rowOff>266700</xdr:rowOff>
                  </to>
                </anchor>
              </controlPr>
            </control>
          </mc:Choice>
        </mc:AlternateContent>
        <mc:AlternateContent xmlns:mc="http://schemas.openxmlformats.org/markup-compatibility/2006">
          <mc:Choice Requires="x14">
            <control shapeId="366734" r:id="rId20" name="Check Box 142">
              <controlPr defaultSize="0" autoFill="0" autoLine="0" autoPict="0">
                <anchor moveWithCells="1">
                  <from>
                    <xdr:col>7</xdr:col>
                    <xdr:colOff>12700</xdr:colOff>
                    <xdr:row>134</xdr:row>
                    <xdr:rowOff>12700</xdr:rowOff>
                  </from>
                  <to>
                    <xdr:col>7</xdr:col>
                    <xdr:colOff>908050</xdr:colOff>
                    <xdr:row>134</xdr:row>
                    <xdr:rowOff>266700</xdr:rowOff>
                  </to>
                </anchor>
              </controlPr>
            </control>
          </mc:Choice>
        </mc:AlternateContent>
        <mc:AlternateContent xmlns:mc="http://schemas.openxmlformats.org/markup-compatibility/2006">
          <mc:Choice Requires="x14">
            <control shapeId="366736" r:id="rId21" name="Check Box 144">
              <controlPr defaultSize="0" autoFill="0" autoLine="0" autoPict="0">
                <anchor moveWithCells="1">
                  <from>
                    <xdr:col>1</xdr:col>
                    <xdr:colOff>12700</xdr:colOff>
                    <xdr:row>118</xdr:row>
                    <xdr:rowOff>12700</xdr:rowOff>
                  </from>
                  <to>
                    <xdr:col>1</xdr:col>
                    <xdr:colOff>1104900</xdr:colOff>
                    <xdr:row>118</xdr:row>
                    <xdr:rowOff>266700</xdr:rowOff>
                  </to>
                </anchor>
              </controlPr>
            </control>
          </mc:Choice>
        </mc:AlternateContent>
        <mc:AlternateContent xmlns:mc="http://schemas.openxmlformats.org/markup-compatibility/2006">
          <mc:Choice Requires="x14">
            <control shapeId="366741" r:id="rId22" name="Check Box 149">
              <controlPr defaultSize="0" autoFill="0" autoLine="0" autoPict="0">
                <anchor moveWithCells="1">
                  <from>
                    <xdr:col>1</xdr:col>
                    <xdr:colOff>12700</xdr:colOff>
                    <xdr:row>111</xdr:row>
                    <xdr:rowOff>12700</xdr:rowOff>
                  </from>
                  <to>
                    <xdr:col>1</xdr:col>
                    <xdr:colOff>1104900</xdr:colOff>
                    <xdr:row>111</xdr:row>
                    <xdr:rowOff>266700</xdr:rowOff>
                  </to>
                </anchor>
              </controlPr>
            </control>
          </mc:Choice>
        </mc:AlternateContent>
        <mc:AlternateContent xmlns:mc="http://schemas.openxmlformats.org/markup-compatibility/2006">
          <mc:Choice Requires="x14">
            <control shapeId="366744" r:id="rId23" name="Check Box 152">
              <controlPr defaultSize="0" autoFill="0" autoLine="0" autoPict="0">
                <anchor moveWithCells="1">
                  <from>
                    <xdr:col>3</xdr:col>
                    <xdr:colOff>12700</xdr:colOff>
                    <xdr:row>111</xdr:row>
                    <xdr:rowOff>12700</xdr:rowOff>
                  </from>
                  <to>
                    <xdr:col>3</xdr:col>
                    <xdr:colOff>908050</xdr:colOff>
                    <xdr:row>111</xdr:row>
                    <xdr:rowOff>266700</xdr:rowOff>
                  </to>
                </anchor>
              </controlPr>
            </control>
          </mc:Choice>
        </mc:AlternateContent>
        <mc:AlternateContent xmlns:mc="http://schemas.openxmlformats.org/markup-compatibility/2006">
          <mc:Choice Requires="x14">
            <control shapeId="366748" r:id="rId24" name="Check Box 156">
              <controlPr defaultSize="0" autoFill="0" autoLine="0" autoPict="0">
                <anchor moveWithCells="1">
                  <from>
                    <xdr:col>5</xdr:col>
                    <xdr:colOff>12700</xdr:colOff>
                    <xdr:row>115</xdr:row>
                    <xdr:rowOff>12700</xdr:rowOff>
                  </from>
                  <to>
                    <xdr:col>5</xdr:col>
                    <xdr:colOff>908050</xdr:colOff>
                    <xdr:row>115</xdr:row>
                    <xdr:rowOff>266700</xdr:rowOff>
                  </to>
                </anchor>
              </controlPr>
            </control>
          </mc:Choice>
        </mc:AlternateContent>
        <mc:AlternateContent xmlns:mc="http://schemas.openxmlformats.org/markup-compatibility/2006">
          <mc:Choice Requires="x14">
            <control shapeId="366749" r:id="rId25" name="Check Box 157">
              <controlPr defaultSize="0" autoFill="0" autoLine="0" autoPict="0">
                <anchor moveWithCells="1">
                  <from>
                    <xdr:col>6</xdr:col>
                    <xdr:colOff>12700</xdr:colOff>
                    <xdr:row>115</xdr:row>
                    <xdr:rowOff>12700</xdr:rowOff>
                  </from>
                  <to>
                    <xdr:col>6</xdr:col>
                    <xdr:colOff>908050</xdr:colOff>
                    <xdr:row>115</xdr:row>
                    <xdr:rowOff>266700</xdr:rowOff>
                  </to>
                </anchor>
              </controlPr>
            </control>
          </mc:Choice>
        </mc:AlternateContent>
        <mc:AlternateContent xmlns:mc="http://schemas.openxmlformats.org/markup-compatibility/2006">
          <mc:Choice Requires="x14">
            <control shapeId="366756" r:id="rId26" name="Check Box 164">
              <controlPr defaultSize="0" autoFill="0" autoLine="0" autoPict="0">
                <anchor moveWithCells="1">
                  <from>
                    <xdr:col>7</xdr:col>
                    <xdr:colOff>12700</xdr:colOff>
                    <xdr:row>115</xdr:row>
                    <xdr:rowOff>12700</xdr:rowOff>
                  </from>
                  <to>
                    <xdr:col>7</xdr:col>
                    <xdr:colOff>908050</xdr:colOff>
                    <xdr:row>115</xdr:row>
                    <xdr:rowOff>266700</xdr:rowOff>
                  </to>
                </anchor>
              </controlPr>
            </control>
          </mc:Choice>
        </mc:AlternateContent>
        <mc:AlternateContent xmlns:mc="http://schemas.openxmlformats.org/markup-compatibility/2006">
          <mc:Choice Requires="x14">
            <control shapeId="366757" r:id="rId27" name="Check Box 165">
              <controlPr defaultSize="0" autoFill="0" autoLine="0" autoPict="0">
                <anchor moveWithCells="1">
                  <from>
                    <xdr:col>11</xdr:col>
                    <xdr:colOff>12700</xdr:colOff>
                    <xdr:row>115</xdr:row>
                    <xdr:rowOff>12700</xdr:rowOff>
                  </from>
                  <to>
                    <xdr:col>11</xdr:col>
                    <xdr:colOff>908050</xdr:colOff>
                    <xdr:row>115</xdr:row>
                    <xdr:rowOff>266700</xdr:rowOff>
                  </to>
                </anchor>
              </controlPr>
            </control>
          </mc:Choice>
        </mc:AlternateContent>
        <mc:AlternateContent xmlns:mc="http://schemas.openxmlformats.org/markup-compatibility/2006">
          <mc:Choice Requires="x14">
            <control shapeId="366758" r:id="rId28" name="Check Box 166">
              <controlPr defaultSize="0" autoFill="0" autoLine="0" autoPict="0">
                <anchor moveWithCells="1">
                  <from>
                    <xdr:col>10</xdr:col>
                    <xdr:colOff>12700</xdr:colOff>
                    <xdr:row>115</xdr:row>
                    <xdr:rowOff>12700</xdr:rowOff>
                  </from>
                  <to>
                    <xdr:col>10</xdr:col>
                    <xdr:colOff>908050</xdr:colOff>
                    <xdr:row>115</xdr:row>
                    <xdr:rowOff>266700</xdr:rowOff>
                  </to>
                </anchor>
              </controlPr>
            </control>
          </mc:Choice>
        </mc:AlternateContent>
        <mc:AlternateContent xmlns:mc="http://schemas.openxmlformats.org/markup-compatibility/2006">
          <mc:Choice Requires="x14">
            <control shapeId="366766" r:id="rId29" name="Check Box 174">
              <controlPr defaultSize="0" autoFill="0" autoLine="0" autoPict="0">
                <anchor moveWithCells="1">
                  <from>
                    <xdr:col>3</xdr:col>
                    <xdr:colOff>12700</xdr:colOff>
                    <xdr:row>120</xdr:row>
                    <xdr:rowOff>12700</xdr:rowOff>
                  </from>
                  <to>
                    <xdr:col>3</xdr:col>
                    <xdr:colOff>908050</xdr:colOff>
                    <xdr:row>120</xdr:row>
                    <xdr:rowOff>266700</xdr:rowOff>
                  </to>
                </anchor>
              </controlPr>
            </control>
          </mc:Choice>
        </mc:AlternateContent>
        <mc:AlternateContent xmlns:mc="http://schemas.openxmlformats.org/markup-compatibility/2006">
          <mc:Choice Requires="x14">
            <control shapeId="366769" r:id="rId30" name="Check Box 177">
              <controlPr defaultSize="0" autoFill="0" autoLine="0" autoPict="0">
                <anchor moveWithCells="1">
                  <from>
                    <xdr:col>1</xdr:col>
                    <xdr:colOff>12700</xdr:colOff>
                    <xdr:row>123</xdr:row>
                    <xdr:rowOff>12700</xdr:rowOff>
                  </from>
                  <to>
                    <xdr:col>1</xdr:col>
                    <xdr:colOff>1104900</xdr:colOff>
                    <xdr:row>123</xdr:row>
                    <xdr:rowOff>266700</xdr:rowOff>
                  </to>
                </anchor>
              </controlPr>
            </control>
          </mc:Choice>
        </mc:AlternateContent>
        <mc:AlternateContent xmlns:mc="http://schemas.openxmlformats.org/markup-compatibility/2006">
          <mc:Choice Requires="x14">
            <control shapeId="366770" r:id="rId31" name="Check Box 178">
              <controlPr defaultSize="0" autoFill="0" autoLine="0" autoPict="0">
                <anchor moveWithCells="1">
                  <from>
                    <xdr:col>2</xdr:col>
                    <xdr:colOff>12700</xdr:colOff>
                    <xdr:row>123</xdr:row>
                    <xdr:rowOff>12700</xdr:rowOff>
                  </from>
                  <to>
                    <xdr:col>2</xdr:col>
                    <xdr:colOff>908050</xdr:colOff>
                    <xdr:row>123</xdr:row>
                    <xdr:rowOff>266700</xdr:rowOff>
                  </to>
                </anchor>
              </controlPr>
            </control>
          </mc:Choice>
        </mc:AlternateContent>
        <mc:AlternateContent xmlns:mc="http://schemas.openxmlformats.org/markup-compatibility/2006">
          <mc:Choice Requires="x14">
            <control shapeId="366771" r:id="rId32" name="Check Box 179">
              <controlPr defaultSize="0" autoFill="0" autoLine="0" autoPict="0">
                <anchor moveWithCells="1">
                  <from>
                    <xdr:col>4</xdr:col>
                    <xdr:colOff>12700</xdr:colOff>
                    <xdr:row>123</xdr:row>
                    <xdr:rowOff>12700</xdr:rowOff>
                  </from>
                  <to>
                    <xdr:col>4</xdr:col>
                    <xdr:colOff>908050</xdr:colOff>
                    <xdr:row>123</xdr:row>
                    <xdr:rowOff>266700</xdr:rowOff>
                  </to>
                </anchor>
              </controlPr>
            </control>
          </mc:Choice>
        </mc:AlternateContent>
        <mc:AlternateContent xmlns:mc="http://schemas.openxmlformats.org/markup-compatibility/2006">
          <mc:Choice Requires="x14">
            <control shapeId="366772" r:id="rId33" name="Check Box 180">
              <controlPr defaultSize="0" print="0" autoFill="0" autoLine="0" autoPict="0">
                <anchor moveWithCells="1">
                  <from>
                    <xdr:col>1</xdr:col>
                    <xdr:colOff>12700</xdr:colOff>
                    <xdr:row>79</xdr:row>
                    <xdr:rowOff>12700</xdr:rowOff>
                  </from>
                  <to>
                    <xdr:col>1</xdr:col>
                    <xdr:colOff>1098550</xdr:colOff>
                    <xdr:row>79</xdr:row>
                    <xdr:rowOff>266700</xdr:rowOff>
                  </to>
                </anchor>
              </controlPr>
            </control>
          </mc:Choice>
        </mc:AlternateContent>
        <mc:AlternateContent xmlns:mc="http://schemas.openxmlformats.org/markup-compatibility/2006">
          <mc:Choice Requires="x14">
            <control shapeId="366773" r:id="rId34" name="Check Box 181">
              <controlPr defaultSize="0" print="0" autoFill="0" autoLine="0" autoPict="0">
                <anchor moveWithCells="1">
                  <from>
                    <xdr:col>1</xdr:col>
                    <xdr:colOff>12700</xdr:colOff>
                    <xdr:row>83</xdr:row>
                    <xdr:rowOff>12700</xdr:rowOff>
                  </from>
                  <to>
                    <xdr:col>1</xdr:col>
                    <xdr:colOff>1098550</xdr:colOff>
                    <xdr:row>83</xdr:row>
                    <xdr:rowOff>266700</xdr:rowOff>
                  </to>
                </anchor>
              </controlPr>
            </control>
          </mc:Choice>
        </mc:AlternateContent>
        <mc:AlternateContent xmlns:mc="http://schemas.openxmlformats.org/markup-compatibility/2006">
          <mc:Choice Requires="x14">
            <control shapeId="366791" r:id="rId35" name="Check Box 199">
              <controlPr defaultSize="0" autoFill="0" autoLine="0" autoPict="0">
                <anchor moveWithCells="1">
                  <from>
                    <xdr:col>1</xdr:col>
                    <xdr:colOff>12700</xdr:colOff>
                    <xdr:row>100</xdr:row>
                    <xdr:rowOff>12700</xdr:rowOff>
                  </from>
                  <to>
                    <xdr:col>1</xdr:col>
                    <xdr:colOff>1104900</xdr:colOff>
                    <xdr:row>100</xdr:row>
                    <xdr:rowOff>266700</xdr:rowOff>
                  </to>
                </anchor>
              </controlPr>
            </control>
          </mc:Choice>
        </mc:AlternateContent>
        <mc:AlternateContent xmlns:mc="http://schemas.openxmlformats.org/markup-compatibility/2006">
          <mc:Choice Requires="x14">
            <control shapeId="366795" r:id="rId36" name="Check Box 203">
              <controlPr defaultSize="0" autoFill="0" autoLine="0" autoPict="0">
                <anchor moveWithCells="1">
                  <from>
                    <xdr:col>2</xdr:col>
                    <xdr:colOff>12700</xdr:colOff>
                    <xdr:row>100</xdr:row>
                    <xdr:rowOff>12700</xdr:rowOff>
                  </from>
                  <to>
                    <xdr:col>2</xdr:col>
                    <xdr:colOff>908050</xdr:colOff>
                    <xdr:row>100</xdr:row>
                    <xdr:rowOff>266700</xdr:rowOff>
                  </to>
                </anchor>
              </controlPr>
            </control>
          </mc:Choice>
        </mc:AlternateContent>
        <mc:AlternateContent xmlns:mc="http://schemas.openxmlformats.org/markup-compatibility/2006">
          <mc:Choice Requires="x14">
            <control shapeId="366790" r:id="rId37" name="Check Box 198">
              <controlPr defaultSize="0" autoFill="0" autoLine="0" autoPict="0">
                <anchor moveWithCells="1">
                  <from>
                    <xdr:col>6</xdr:col>
                    <xdr:colOff>12700</xdr:colOff>
                    <xdr:row>100</xdr:row>
                    <xdr:rowOff>12700</xdr:rowOff>
                  </from>
                  <to>
                    <xdr:col>6</xdr:col>
                    <xdr:colOff>908050</xdr:colOff>
                    <xdr:row>100</xdr:row>
                    <xdr:rowOff>266700</xdr:rowOff>
                  </to>
                </anchor>
              </controlPr>
            </control>
          </mc:Choice>
        </mc:AlternateContent>
        <mc:AlternateContent xmlns:mc="http://schemas.openxmlformats.org/markup-compatibility/2006">
          <mc:Choice Requires="x14">
            <control shapeId="366792" r:id="rId38" name="Check Box 200">
              <controlPr defaultSize="0" autoFill="0" autoLine="0" autoPict="0">
                <anchor moveWithCells="1">
                  <from>
                    <xdr:col>3</xdr:col>
                    <xdr:colOff>12700</xdr:colOff>
                    <xdr:row>100</xdr:row>
                    <xdr:rowOff>12700</xdr:rowOff>
                  </from>
                  <to>
                    <xdr:col>3</xdr:col>
                    <xdr:colOff>908050</xdr:colOff>
                    <xdr:row>100</xdr:row>
                    <xdr:rowOff>266700</xdr:rowOff>
                  </to>
                </anchor>
              </controlPr>
            </control>
          </mc:Choice>
        </mc:AlternateContent>
        <mc:AlternateContent xmlns:mc="http://schemas.openxmlformats.org/markup-compatibility/2006">
          <mc:Choice Requires="x14">
            <control shapeId="366793" r:id="rId39" name="Check Box 201">
              <controlPr defaultSize="0" autoFill="0" autoLine="0" autoPict="0">
                <anchor moveWithCells="1">
                  <from>
                    <xdr:col>4</xdr:col>
                    <xdr:colOff>12700</xdr:colOff>
                    <xdr:row>100</xdr:row>
                    <xdr:rowOff>12700</xdr:rowOff>
                  </from>
                  <to>
                    <xdr:col>4</xdr:col>
                    <xdr:colOff>908050</xdr:colOff>
                    <xdr:row>100</xdr:row>
                    <xdr:rowOff>266700</xdr:rowOff>
                  </to>
                </anchor>
              </controlPr>
            </control>
          </mc:Choice>
        </mc:AlternateContent>
        <mc:AlternateContent xmlns:mc="http://schemas.openxmlformats.org/markup-compatibility/2006">
          <mc:Choice Requires="x14">
            <control shapeId="366777" r:id="rId40" name="Check Box 185">
              <controlPr defaultSize="0" autoFill="0" autoLine="0" autoPict="0">
                <anchor moveWithCells="1">
                  <from>
                    <xdr:col>2</xdr:col>
                    <xdr:colOff>12700</xdr:colOff>
                    <xdr:row>103</xdr:row>
                    <xdr:rowOff>12700</xdr:rowOff>
                  </from>
                  <to>
                    <xdr:col>2</xdr:col>
                    <xdr:colOff>908050</xdr:colOff>
                    <xdr:row>103</xdr:row>
                    <xdr:rowOff>266700</xdr:rowOff>
                  </to>
                </anchor>
              </controlPr>
            </control>
          </mc:Choice>
        </mc:AlternateContent>
        <mc:AlternateContent xmlns:mc="http://schemas.openxmlformats.org/markup-compatibility/2006">
          <mc:Choice Requires="x14">
            <control shapeId="366658" r:id="rId41" name="Check Box 66">
              <controlPr defaultSize="0" autoFill="0" autoLine="0" autoPict="0">
                <anchor moveWithCells="1">
                  <from>
                    <xdr:col>8</xdr:col>
                    <xdr:colOff>12700</xdr:colOff>
                    <xdr:row>103</xdr:row>
                    <xdr:rowOff>12700</xdr:rowOff>
                  </from>
                  <to>
                    <xdr:col>8</xdr:col>
                    <xdr:colOff>908050</xdr:colOff>
                    <xdr:row>103</xdr:row>
                    <xdr:rowOff>266700</xdr:rowOff>
                  </to>
                </anchor>
              </controlPr>
            </control>
          </mc:Choice>
        </mc:AlternateContent>
        <mc:AlternateContent xmlns:mc="http://schemas.openxmlformats.org/markup-compatibility/2006">
          <mc:Choice Requires="x14">
            <control shapeId="366785" r:id="rId42" name="Check Box 193">
              <controlPr defaultSize="0" autoFill="0" autoLine="0" autoPict="0">
                <anchor moveWithCells="1">
                  <from>
                    <xdr:col>5</xdr:col>
                    <xdr:colOff>12700</xdr:colOff>
                    <xdr:row>103</xdr:row>
                    <xdr:rowOff>12700</xdr:rowOff>
                  </from>
                  <to>
                    <xdr:col>5</xdr:col>
                    <xdr:colOff>908050</xdr:colOff>
                    <xdr:row>103</xdr:row>
                    <xdr:rowOff>266700</xdr:rowOff>
                  </to>
                </anchor>
              </controlPr>
            </control>
          </mc:Choice>
        </mc:AlternateContent>
        <mc:AlternateContent xmlns:mc="http://schemas.openxmlformats.org/markup-compatibility/2006">
          <mc:Choice Requires="x14">
            <control shapeId="366797" r:id="rId43" name="Check Box 205">
              <controlPr defaultSize="0" autoFill="0" autoLine="0" autoPict="0">
                <anchor moveWithCells="1">
                  <from>
                    <xdr:col>10</xdr:col>
                    <xdr:colOff>12700</xdr:colOff>
                    <xdr:row>103</xdr:row>
                    <xdr:rowOff>12700</xdr:rowOff>
                  </from>
                  <to>
                    <xdr:col>10</xdr:col>
                    <xdr:colOff>908050</xdr:colOff>
                    <xdr:row>103</xdr:row>
                    <xdr:rowOff>266700</xdr:rowOff>
                  </to>
                </anchor>
              </controlPr>
            </control>
          </mc:Choice>
        </mc:AlternateContent>
        <mc:AlternateContent xmlns:mc="http://schemas.openxmlformats.org/markup-compatibility/2006">
          <mc:Choice Requires="x14">
            <control shapeId="366798" r:id="rId44" name="Check Box 206">
              <controlPr defaultSize="0" autoFill="0" autoLine="0" autoPict="0">
                <anchor moveWithCells="1">
                  <from>
                    <xdr:col>11</xdr:col>
                    <xdr:colOff>12700</xdr:colOff>
                    <xdr:row>103</xdr:row>
                    <xdr:rowOff>12700</xdr:rowOff>
                  </from>
                  <to>
                    <xdr:col>11</xdr:col>
                    <xdr:colOff>908050</xdr:colOff>
                    <xdr:row>103</xdr:row>
                    <xdr:rowOff>266700</xdr:rowOff>
                  </to>
                </anchor>
              </controlPr>
            </control>
          </mc:Choice>
        </mc:AlternateContent>
        <mc:AlternateContent xmlns:mc="http://schemas.openxmlformats.org/markup-compatibility/2006">
          <mc:Choice Requires="x14">
            <control shapeId="366804" r:id="rId45" name="Check Box 212">
              <controlPr defaultSize="0" autoFill="0" autoLine="0" autoPict="0">
                <anchor moveWithCells="1">
                  <from>
                    <xdr:col>5</xdr:col>
                    <xdr:colOff>12700</xdr:colOff>
                    <xdr:row>127</xdr:row>
                    <xdr:rowOff>12700</xdr:rowOff>
                  </from>
                  <to>
                    <xdr:col>5</xdr:col>
                    <xdr:colOff>908050</xdr:colOff>
                    <xdr:row>127</xdr:row>
                    <xdr:rowOff>266700</xdr:rowOff>
                  </to>
                </anchor>
              </controlPr>
            </control>
          </mc:Choice>
        </mc:AlternateContent>
        <mc:AlternateContent xmlns:mc="http://schemas.openxmlformats.org/markup-compatibility/2006">
          <mc:Choice Requires="x14">
            <control shapeId="366805" r:id="rId46" name="Check Box 213">
              <controlPr defaultSize="0" autoFill="0" autoLine="0" autoPict="0">
                <anchor moveWithCells="1">
                  <from>
                    <xdr:col>7</xdr:col>
                    <xdr:colOff>12700</xdr:colOff>
                    <xdr:row>127</xdr:row>
                    <xdr:rowOff>12700</xdr:rowOff>
                  </from>
                  <to>
                    <xdr:col>7</xdr:col>
                    <xdr:colOff>908050</xdr:colOff>
                    <xdr:row>127</xdr:row>
                    <xdr:rowOff>266700</xdr:rowOff>
                  </to>
                </anchor>
              </controlPr>
            </control>
          </mc:Choice>
        </mc:AlternateContent>
        <mc:AlternateContent xmlns:mc="http://schemas.openxmlformats.org/markup-compatibility/2006">
          <mc:Choice Requires="x14">
            <control shapeId="366806" r:id="rId47" name="Check Box 214">
              <controlPr defaultSize="0" autoFill="0" autoLine="0" autoPict="0">
                <anchor moveWithCells="1">
                  <from>
                    <xdr:col>1</xdr:col>
                    <xdr:colOff>12700</xdr:colOff>
                    <xdr:row>96</xdr:row>
                    <xdr:rowOff>12700</xdr:rowOff>
                  </from>
                  <to>
                    <xdr:col>1</xdr:col>
                    <xdr:colOff>1104900</xdr:colOff>
                    <xdr:row>96</xdr:row>
                    <xdr:rowOff>266700</xdr:rowOff>
                  </to>
                </anchor>
              </controlPr>
            </control>
          </mc:Choice>
        </mc:AlternateContent>
        <mc:AlternateContent xmlns:mc="http://schemas.openxmlformats.org/markup-compatibility/2006">
          <mc:Choice Requires="x14">
            <control shapeId="366807" r:id="rId48" name="Check Box 215">
              <controlPr defaultSize="0" autoFill="0" autoLine="0" autoPict="0">
                <anchor moveWithCells="1">
                  <from>
                    <xdr:col>3</xdr:col>
                    <xdr:colOff>12700</xdr:colOff>
                    <xdr:row>96</xdr:row>
                    <xdr:rowOff>12700</xdr:rowOff>
                  </from>
                  <to>
                    <xdr:col>3</xdr:col>
                    <xdr:colOff>908050</xdr:colOff>
                    <xdr:row>96</xdr:row>
                    <xdr:rowOff>266700</xdr:rowOff>
                  </to>
                </anchor>
              </controlPr>
            </control>
          </mc:Choice>
        </mc:AlternateContent>
        <mc:AlternateContent xmlns:mc="http://schemas.openxmlformats.org/markup-compatibility/2006">
          <mc:Choice Requires="x14">
            <control shapeId="366818" r:id="rId49" name="Check Box 226">
              <controlPr defaultSize="0" autoFill="0" autoLine="0" autoPict="0">
                <anchor moveWithCells="1">
                  <from>
                    <xdr:col>6</xdr:col>
                    <xdr:colOff>12700</xdr:colOff>
                    <xdr:row>32</xdr:row>
                    <xdr:rowOff>12700</xdr:rowOff>
                  </from>
                  <to>
                    <xdr:col>6</xdr:col>
                    <xdr:colOff>908050</xdr:colOff>
                    <xdr:row>32</xdr:row>
                    <xdr:rowOff>266700</xdr:rowOff>
                  </to>
                </anchor>
              </controlPr>
            </control>
          </mc:Choice>
        </mc:AlternateContent>
        <mc:AlternateContent xmlns:mc="http://schemas.openxmlformats.org/markup-compatibility/2006">
          <mc:Choice Requires="x14">
            <control shapeId="366819" r:id="rId50" name="Check Box 227">
              <controlPr defaultSize="0" autoFill="0" autoLine="0" autoPict="0">
                <anchor moveWithCells="1">
                  <from>
                    <xdr:col>7</xdr:col>
                    <xdr:colOff>12700</xdr:colOff>
                    <xdr:row>32</xdr:row>
                    <xdr:rowOff>12700</xdr:rowOff>
                  </from>
                  <to>
                    <xdr:col>7</xdr:col>
                    <xdr:colOff>908050</xdr:colOff>
                    <xdr:row>32</xdr:row>
                    <xdr:rowOff>266700</xdr:rowOff>
                  </to>
                </anchor>
              </controlPr>
            </control>
          </mc:Choice>
        </mc:AlternateContent>
        <mc:AlternateContent xmlns:mc="http://schemas.openxmlformats.org/markup-compatibility/2006">
          <mc:Choice Requires="x14">
            <control shapeId="366824" r:id="rId51" name="Check Box 232">
              <controlPr defaultSize="0" autoFill="0" autoLine="0" autoPict="0">
                <anchor moveWithCells="1">
                  <from>
                    <xdr:col>4</xdr:col>
                    <xdr:colOff>12700</xdr:colOff>
                    <xdr:row>87</xdr:row>
                    <xdr:rowOff>12700</xdr:rowOff>
                  </from>
                  <to>
                    <xdr:col>4</xdr:col>
                    <xdr:colOff>908050</xdr:colOff>
                    <xdr:row>87</xdr:row>
                    <xdr:rowOff>266700</xdr:rowOff>
                  </to>
                </anchor>
              </controlPr>
            </control>
          </mc:Choice>
        </mc:AlternateContent>
        <mc:AlternateContent xmlns:mc="http://schemas.openxmlformats.org/markup-compatibility/2006">
          <mc:Choice Requires="x14">
            <control shapeId="366825" r:id="rId52" name="Check Box 233">
              <controlPr defaultSize="0" autoFill="0" autoLine="0" autoPict="0">
                <anchor moveWithCells="1">
                  <from>
                    <xdr:col>5</xdr:col>
                    <xdr:colOff>12700</xdr:colOff>
                    <xdr:row>87</xdr:row>
                    <xdr:rowOff>12700</xdr:rowOff>
                  </from>
                  <to>
                    <xdr:col>5</xdr:col>
                    <xdr:colOff>908050</xdr:colOff>
                    <xdr:row>87</xdr:row>
                    <xdr:rowOff>266700</xdr:rowOff>
                  </to>
                </anchor>
              </controlPr>
            </control>
          </mc:Choice>
        </mc:AlternateContent>
        <mc:AlternateContent xmlns:mc="http://schemas.openxmlformats.org/markup-compatibility/2006">
          <mc:Choice Requires="x14">
            <control shapeId="366826" r:id="rId53" name="Check Box 234">
              <controlPr defaultSize="0" autoFill="0" autoLine="0" autoPict="0">
                <anchor moveWithCells="1">
                  <from>
                    <xdr:col>6</xdr:col>
                    <xdr:colOff>12700</xdr:colOff>
                    <xdr:row>87</xdr:row>
                    <xdr:rowOff>12700</xdr:rowOff>
                  </from>
                  <to>
                    <xdr:col>6</xdr:col>
                    <xdr:colOff>908050</xdr:colOff>
                    <xdr:row>87</xdr:row>
                    <xdr:rowOff>266700</xdr:rowOff>
                  </to>
                </anchor>
              </controlPr>
            </control>
          </mc:Choice>
        </mc:AlternateContent>
        <mc:AlternateContent xmlns:mc="http://schemas.openxmlformats.org/markup-compatibility/2006">
          <mc:Choice Requires="x14">
            <control shapeId="366827" r:id="rId54" name="Check Box 235">
              <controlPr defaultSize="0" autoFill="0" autoLine="0" autoPict="0">
                <anchor moveWithCells="1">
                  <from>
                    <xdr:col>7</xdr:col>
                    <xdr:colOff>12700</xdr:colOff>
                    <xdr:row>87</xdr:row>
                    <xdr:rowOff>12700</xdr:rowOff>
                  </from>
                  <to>
                    <xdr:col>7</xdr:col>
                    <xdr:colOff>908050</xdr:colOff>
                    <xdr:row>87</xdr:row>
                    <xdr:rowOff>266700</xdr:rowOff>
                  </to>
                </anchor>
              </controlPr>
            </control>
          </mc:Choice>
        </mc:AlternateContent>
        <mc:AlternateContent xmlns:mc="http://schemas.openxmlformats.org/markup-compatibility/2006">
          <mc:Choice Requires="x14">
            <control shapeId="366833" r:id="rId55" name="Check Box 241">
              <controlPr defaultSize="0" autoFill="0" autoLine="0" autoPict="0">
                <anchor moveWithCells="1">
                  <from>
                    <xdr:col>8</xdr:col>
                    <xdr:colOff>12700</xdr:colOff>
                    <xdr:row>32</xdr:row>
                    <xdr:rowOff>12700</xdr:rowOff>
                  </from>
                  <to>
                    <xdr:col>8</xdr:col>
                    <xdr:colOff>908050</xdr:colOff>
                    <xdr:row>32</xdr:row>
                    <xdr:rowOff>266700</xdr:rowOff>
                  </to>
                </anchor>
              </controlPr>
            </control>
          </mc:Choice>
        </mc:AlternateContent>
        <mc:AlternateContent xmlns:mc="http://schemas.openxmlformats.org/markup-compatibility/2006">
          <mc:Choice Requires="x14">
            <control shapeId="366834" r:id="rId56" name="Check Box 242">
              <controlPr defaultSize="0" autoFill="0" autoLine="0" autoPict="0">
                <anchor moveWithCells="1">
                  <from>
                    <xdr:col>4</xdr:col>
                    <xdr:colOff>12700</xdr:colOff>
                    <xdr:row>32</xdr:row>
                    <xdr:rowOff>12700</xdr:rowOff>
                  </from>
                  <to>
                    <xdr:col>4</xdr:col>
                    <xdr:colOff>908050</xdr:colOff>
                    <xdr:row>32</xdr:row>
                    <xdr:rowOff>266700</xdr:rowOff>
                  </to>
                </anchor>
              </controlPr>
            </control>
          </mc:Choice>
        </mc:AlternateContent>
        <mc:AlternateContent xmlns:mc="http://schemas.openxmlformats.org/markup-compatibility/2006">
          <mc:Choice Requires="x14">
            <control shapeId="366836" r:id="rId57" name="Check Box 244">
              <controlPr defaultSize="0" print="0" autoFill="0" autoLine="0" autoPict="0">
                <anchor moveWithCells="1">
                  <from>
                    <xdr:col>1</xdr:col>
                    <xdr:colOff>12700</xdr:colOff>
                    <xdr:row>41</xdr:row>
                    <xdr:rowOff>12700</xdr:rowOff>
                  </from>
                  <to>
                    <xdr:col>1</xdr:col>
                    <xdr:colOff>1098550</xdr:colOff>
                    <xdr:row>41</xdr:row>
                    <xdr:rowOff>266700</xdr:rowOff>
                  </to>
                </anchor>
              </controlPr>
            </control>
          </mc:Choice>
        </mc:AlternateContent>
        <mc:AlternateContent xmlns:mc="http://schemas.openxmlformats.org/markup-compatibility/2006">
          <mc:Choice Requires="x14">
            <control shapeId="366840" r:id="rId58" name="Check Box 248">
              <controlPr defaultSize="0" autoFill="0" autoLine="0" autoPict="0">
                <anchor moveWithCells="1">
                  <from>
                    <xdr:col>4</xdr:col>
                    <xdr:colOff>12700</xdr:colOff>
                    <xdr:row>15</xdr:row>
                    <xdr:rowOff>12700</xdr:rowOff>
                  </from>
                  <to>
                    <xdr:col>4</xdr:col>
                    <xdr:colOff>908050</xdr:colOff>
                    <xdr:row>20</xdr:row>
                    <xdr:rowOff>254000</xdr:rowOff>
                  </to>
                </anchor>
              </controlPr>
            </control>
          </mc:Choice>
        </mc:AlternateContent>
        <mc:AlternateContent xmlns:mc="http://schemas.openxmlformats.org/markup-compatibility/2006">
          <mc:Choice Requires="x14">
            <control shapeId="366841" r:id="rId59" name="Check Box 249">
              <controlPr defaultSize="0" autoFill="0" autoLine="0" autoPict="0">
                <anchor moveWithCells="1">
                  <from>
                    <xdr:col>11</xdr:col>
                    <xdr:colOff>12700</xdr:colOff>
                    <xdr:row>15</xdr:row>
                    <xdr:rowOff>12700</xdr:rowOff>
                  </from>
                  <to>
                    <xdr:col>11</xdr:col>
                    <xdr:colOff>908050</xdr:colOff>
                    <xdr:row>20</xdr:row>
                    <xdr:rowOff>254000</xdr:rowOff>
                  </to>
                </anchor>
              </controlPr>
            </control>
          </mc:Choice>
        </mc:AlternateContent>
        <mc:AlternateContent xmlns:mc="http://schemas.openxmlformats.org/markup-compatibility/2006">
          <mc:Choice Requires="x14">
            <control shapeId="366844" r:id="rId60" name="Check Box 252">
              <controlPr defaultSize="0" autoFill="0" autoLine="0" autoPict="0">
                <anchor moveWithCells="1">
                  <from>
                    <xdr:col>3</xdr:col>
                    <xdr:colOff>12700</xdr:colOff>
                    <xdr:row>15</xdr:row>
                    <xdr:rowOff>12700</xdr:rowOff>
                  </from>
                  <to>
                    <xdr:col>3</xdr:col>
                    <xdr:colOff>908050</xdr:colOff>
                    <xdr:row>20</xdr:row>
                    <xdr:rowOff>254000</xdr:rowOff>
                  </to>
                </anchor>
              </controlPr>
            </control>
          </mc:Choice>
        </mc:AlternateContent>
        <mc:AlternateContent xmlns:mc="http://schemas.openxmlformats.org/markup-compatibility/2006">
          <mc:Choice Requires="x14">
            <control shapeId="366845" r:id="rId61" name="Check Box 253">
              <controlPr defaultSize="0" print="0" autoFill="0" autoLine="0" autoPict="0">
                <anchor moveWithCells="1">
                  <from>
                    <xdr:col>1</xdr:col>
                    <xdr:colOff>12700</xdr:colOff>
                    <xdr:row>75</xdr:row>
                    <xdr:rowOff>12700</xdr:rowOff>
                  </from>
                  <to>
                    <xdr:col>1</xdr:col>
                    <xdr:colOff>1098550</xdr:colOff>
                    <xdr:row>75</xdr:row>
                    <xdr:rowOff>266700</xdr:rowOff>
                  </to>
                </anchor>
              </controlPr>
            </control>
          </mc:Choice>
        </mc:AlternateContent>
        <mc:AlternateContent xmlns:mc="http://schemas.openxmlformats.org/markup-compatibility/2006">
          <mc:Choice Requires="x14">
            <control shapeId="366846" r:id="rId62" name="Check Box 254">
              <controlPr defaultSize="0" autoFill="0" autoLine="0" autoPict="0">
                <anchor moveWithCells="1">
                  <from>
                    <xdr:col>2</xdr:col>
                    <xdr:colOff>12700</xdr:colOff>
                    <xdr:row>75</xdr:row>
                    <xdr:rowOff>12700</xdr:rowOff>
                  </from>
                  <to>
                    <xdr:col>2</xdr:col>
                    <xdr:colOff>908050</xdr:colOff>
                    <xdr:row>75</xdr:row>
                    <xdr:rowOff>266700</xdr:rowOff>
                  </to>
                </anchor>
              </controlPr>
            </control>
          </mc:Choice>
        </mc:AlternateContent>
        <mc:AlternateContent xmlns:mc="http://schemas.openxmlformats.org/markup-compatibility/2006">
          <mc:Choice Requires="x14">
            <control shapeId="366847" r:id="rId63" name="Check Box 255">
              <controlPr defaultSize="0" autoFill="0" autoLine="0" autoPict="0">
                <anchor moveWithCells="1">
                  <from>
                    <xdr:col>3</xdr:col>
                    <xdr:colOff>12700</xdr:colOff>
                    <xdr:row>75</xdr:row>
                    <xdr:rowOff>12700</xdr:rowOff>
                  </from>
                  <to>
                    <xdr:col>3</xdr:col>
                    <xdr:colOff>908050</xdr:colOff>
                    <xdr:row>75</xdr:row>
                    <xdr:rowOff>266700</xdr:rowOff>
                  </to>
                </anchor>
              </controlPr>
            </control>
          </mc:Choice>
        </mc:AlternateContent>
        <mc:AlternateContent xmlns:mc="http://schemas.openxmlformats.org/markup-compatibility/2006">
          <mc:Choice Requires="x14">
            <control shapeId="366848" r:id="rId64" name="Check Box 256">
              <controlPr defaultSize="0" autoFill="0" autoLine="0" autoPict="0">
                <anchor moveWithCells="1">
                  <from>
                    <xdr:col>5</xdr:col>
                    <xdr:colOff>12700</xdr:colOff>
                    <xdr:row>138</xdr:row>
                    <xdr:rowOff>12700</xdr:rowOff>
                  </from>
                  <to>
                    <xdr:col>5</xdr:col>
                    <xdr:colOff>908050</xdr:colOff>
                    <xdr:row>138</xdr:row>
                    <xdr:rowOff>266700</xdr:rowOff>
                  </to>
                </anchor>
              </controlPr>
            </control>
          </mc:Choice>
        </mc:AlternateContent>
        <mc:AlternateContent xmlns:mc="http://schemas.openxmlformats.org/markup-compatibility/2006">
          <mc:Choice Requires="x14">
            <control shapeId="366853" r:id="rId65" name="Check Box 261">
              <controlPr defaultSize="0" autoFill="0" autoLine="0" autoPict="0">
                <anchor moveWithCells="1">
                  <from>
                    <xdr:col>1</xdr:col>
                    <xdr:colOff>12700</xdr:colOff>
                    <xdr:row>144</xdr:row>
                    <xdr:rowOff>12700</xdr:rowOff>
                  </from>
                  <to>
                    <xdr:col>1</xdr:col>
                    <xdr:colOff>1104900</xdr:colOff>
                    <xdr:row>144</xdr:row>
                    <xdr:rowOff>266700</xdr:rowOff>
                  </to>
                </anchor>
              </controlPr>
            </control>
          </mc:Choice>
        </mc:AlternateContent>
        <mc:AlternateContent xmlns:mc="http://schemas.openxmlformats.org/markup-compatibility/2006">
          <mc:Choice Requires="x14">
            <control shapeId="366850" r:id="rId66" name="Check Box 258">
              <controlPr defaultSize="0" autoFill="0" autoLine="0" autoPict="0">
                <anchor moveWithCells="1">
                  <from>
                    <xdr:col>3</xdr:col>
                    <xdr:colOff>12700</xdr:colOff>
                    <xdr:row>144</xdr:row>
                    <xdr:rowOff>12700</xdr:rowOff>
                  </from>
                  <to>
                    <xdr:col>3</xdr:col>
                    <xdr:colOff>908050</xdr:colOff>
                    <xdr:row>144</xdr:row>
                    <xdr:rowOff>266700</xdr:rowOff>
                  </to>
                </anchor>
              </controlPr>
            </control>
          </mc:Choice>
        </mc:AlternateContent>
        <mc:AlternateContent xmlns:mc="http://schemas.openxmlformats.org/markup-compatibility/2006">
          <mc:Choice Requires="x14">
            <control shapeId="366852" r:id="rId67" name="Check Box 260">
              <controlPr defaultSize="0" autoFill="0" autoLine="0" autoPict="0">
                <anchor moveWithCells="1">
                  <from>
                    <xdr:col>4</xdr:col>
                    <xdr:colOff>12700</xdr:colOff>
                    <xdr:row>144</xdr:row>
                    <xdr:rowOff>12700</xdr:rowOff>
                  </from>
                  <to>
                    <xdr:col>4</xdr:col>
                    <xdr:colOff>908050</xdr:colOff>
                    <xdr:row>144</xdr:row>
                    <xdr:rowOff>266700</xdr:rowOff>
                  </to>
                </anchor>
              </controlPr>
            </control>
          </mc:Choice>
        </mc:AlternateContent>
        <mc:AlternateContent xmlns:mc="http://schemas.openxmlformats.org/markup-compatibility/2006">
          <mc:Choice Requires="x14">
            <control shapeId="366854" r:id="rId68" name="Check Box 262">
              <controlPr defaultSize="0" autoFill="0" autoLine="0" autoPict="0">
                <anchor moveWithCells="1">
                  <from>
                    <xdr:col>2</xdr:col>
                    <xdr:colOff>12700</xdr:colOff>
                    <xdr:row>144</xdr:row>
                    <xdr:rowOff>12700</xdr:rowOff>
                  </from>
                  <to>
                    <xdr:col>2</xdr:col>
                    <xdr:colOff>908050</xdr:colOff>
                    <xdr:row>144</xdr:row>
                    <xdr:rowOff>266700</xdr:rowOff>
                  </to>
                </anchor>
              </controlPr>
            </control>
          </mc:Choice>
        </mc:AlternateContent>
        <mc:AlternateContent xmlns:mc="http://schemas.openxmlformats.org/markup-compatibility/2006">
          <mc:Choice Requires="x14">
            <control shapeId="366851" r:id="rId69" name="Check Box 259">
              <controlPr defaultSize="0" autoFill="0" autoLine="0" autoPict="0">
                <anchor moveWithCells="1">
                  <from>
                    <xdr:col>7</xdr:col>
                    <xdr:colOff>12700</xdr:colOff>
                    <xdr:row>144</xdr:row>
                    <xdr:rowOff>12700</xdr:rowOff>
                  </from>
                  <to>
                    <xdr:col>7</xdr:col>
                    <xdr:colOff>908050</xdr:colOff>
                    <xdr:row>144</xdr:row>
                    <xdr:rowOff>266700</xdr:rowOff>
                  </to>
                </anchor>
              </controlPr>
            </control>
          </mc:Choice>
        </mc:AlternateContent>
        <mc:AlternateContent xmlns:mc="http://schemas.openxmlformats.org/markup-compatibility/2006">
          <mc:Choice Requires="x14">
            <control shapeId="366856" r:id="rId70" name="Check Box 264">
              <controlPr defaultSize="0" autoFill="0" autoLine="0" autoPict="0">
                <anchor moveWithCells="1">
                  <from>
                    <xdr:col>6</xdr:col>
                    <xdr:colOff>12700</xdr:colOff>
                    <xdr:row>144</xdr:row>
                    <xdr:rowOff>12700</xdr:rowOff>
                  </from>
                  <to>
                    <xdr:col>6</xdr:col>
                    <xdr:colOff>908050</xdr:colOff>
                    <xdr:row>144</xdr:row>
                    <xdr:rowOff>266700</xdr:rowOff>
                  </to>
                </anchor>
              </controlPr>
            </control>
          </mc:Choice>
        </mc:AlternateContent>
        <mc:AlternateContent xmlns:mc="http://schemas.openxmlformats.org/markup-compatibility/2006">
          <mc:Choice Requires="x14">
            <control shapeId="366857" r:id="rId71" name="Check Box 265">
              <controlPr defaultSize="0" autoFill="0" autoLine="0" autoPict="0">
                <anchor moveWithCells="1">
                  <from>
                    <xdr:col>5</xdr:col>
                    <xdr:colOff>12700</xdr:colOff>
                    <xdr:row>79</xdr:row>
                    <xdr:rowOff>12700</xdr:rowOff>
                  </from>
                  <to>
                    <xdr:col>5</xdr:col>
                    <xdr:colOff>908050</xdr:colOff>
                    <xdr:row>79</xdr:row>
                    <xdr:rowOff>266700</xdr:rowOff>
                  </to>
                </anchor>
              </controlPr>
            </control>
          </mc:Choice>
        </mc:AlternateContent>
        <mc:AlternateContent xmlns:mc="http://schemas.openxmlformats.org/markup-compatibility/2006">
          <mc:Choice Requires="x14">
            <control shapeId="366859" r:id="rId72" name="Check Box 267">
              <controlPr defaultSize="0" autoFill="0" autoLine="0" autoPict="0">
                <anchor moveWithCells="1">
                  <from>
                    <xdr:col>8</xdr:col>
                    <xdr:colOff>12700</xdr:colOff>
                    <xdr:row>127</xdr:row>
                    <xdr:rowOff>12700</xdr:rowOff>
                  </from>
                  <to>
                    <xdr:col>8</xdr:col>
                    <xdr:colOff>908050</xdr:colOff>
                    <xdr:row>127</xdr:row>
                    <xdr:rowOff>266700</xdr:rowOff>
                  </to>
                </anchor>
              </controlPr>
            </control>
          </mc:Choice>
        </mc:AlternateContent>
        <mc:AlternateContent xmlns:mc="http://schemas.openxmlformats.org/markup-compatibility/2006">
          <mc:Choice Requires="x14">
            <control shapeId="366860" r:id="rId73" name="Check Box 268">
              <controlPr defaultSize="0" autoFill="0" autoLine="0" autoPict="0">
                <anchor moveWithCells="1">
                  <from>
                    <xdr:col>1</xdr:col>
                    <xdr:colOff>12700</xdr:colOff>
                    <xdr:row>172</xdr:row>
                    <xdr:rowOff>12700</xdr:rowOff>
                  </from>
                  <to>
                    <xdr:col>1</xdr:col>
                    <xdr:colOff>1104900</xdr:colOff>
                    <xdr:row>172</xdr:row>
                    <xdr:rowOff>266700</xdr:rowOff>
                  </to>
                </anchor>
              </controlPr>
            </control>
          </mc:Choice>
        </mc:AlternateContent>
        <mc:AlternateContent xmlns:mc="http://schemas.openxmlformats.org/markup-compatibility/2006">
          <mc:Choice Requires="x14">
            <control shapeId="366861" r:id="rId74" name="Check Box 269">
              <controlPr defaultSize="0" autoFill="0" autoLine="0" autoPict="0">
                <anchor moveWithCells="1">
                  <from>
                    <xdr:col>1</xdr:col>
                    <xdr:colOff>12700</xdr:colOff>
                    <xdr:row>155</xdr:row>
                    <xdr:rowOff>12700</xdr:rowOff>
                  </from>
                  <to>
                    <xdr:col>1</xdr:col>
                    <xdr:colOff>1104900</xdr:colOff>
                    <xdr:row>155</xdr:row>
                    <xdr:rowOff>266700</xdr:rowOff>
                  </to>
                </anchor>
              </controlPr>
            </control>
          </mc:Choice>
        </mc:AlternateContent>
        <mc:AlternateContent xmlns:mc="http://schemas.openxmlformats.org/markup-compatibility/2006">
          <mc:Choice Requires="x14">
            <control shapeId="366862" r:id="rId75" name="Check Box 270">
              <controlPr defaultSize="0" autoFill="0" autoLine="0" autoPict="0">
                <anchor moveWithCells="1">
                  <from>
                    <xdr:col>1</xdr:col>
                    <xdr:colOff>12700</xdr:colOff>
                    <xdr:row>2</xdr:row>
                    <xdr:rowOff>12700</xdr:rowOff>
                  </from>
                  <to>
                    <xdr:col>1</xdr:col>
                    <xdr:colOff>1098550</xdr:colOff>
                    <xdr:row>20</xdr:row>
                    <xdr:rowOff>254000</xdr:rowOff>
                  </to>
                </anchor>
              </controlPr>
            </control>
          </mc:Choice>
        </mc:AlternateContent>
        <mc:AlternateContent xmlns:mc="http://schemas.openxmlformats.org/markup-compatibility/2006">
          <mc:Choice Requires="x14">
            <control shapeId="366870" r:id="rId76" name="Check Box 278">
              <controlPr defaultSize="0" autoFill="0" autoLine="0" autoPict="0">
                <anchor moveWithCells="1">
                  <from>
                    <xdr:col>9</xdr:col>
                    <xdr:colOff>12700</xdr:colOff>
                    <xdr:row>127</xdr:row>
                    <xdr:rowOff>12700</xdr:rowOff>
                  </from>
                  <to>
                    <xdr:col>9</xdr:col>
                    <xdr:colOff>908050</xdr:colOff>
                    <xdr:row>127</xdr:row>
                    <xdr:rowOff>266700</xdr:rowOff>
                  </to>
                </anchor>
              </controlPr>
            </control>
          </mc:Choice>
        </mc:AlternateContent>
        <mc:AlternateContent xmlns:mc="http://schemas.openxmlformats.org/markup-compatibility/2006">
          <mc:Choice Requires="x14">
            <control shapeId="366871" r:id="rId77" name="Check Box 279">
              <controlPr defaultSize="0" autoFill="0" autoLine="0" autoPict="0">
                <anchor moveWithCells="1">
                  <from>
                    <xdr:col>1</xdr:col>
                    <xdr:colOff>12700</xdr:colOff>
                    <xdr:row>170</xdr:row>
                    <xdr:rowOff>12700</xdr:rowOff>
                  </from>
                  <to>
                    <xdr:col>1</xdr:col>
                    <xdr:colOff>1104900</xdr:colOff>
                    <xdr:row>170</xdr:row>
                    <xdr:rowOff>266700</xdr:rowOff>
                  </to>
                </anchor>
              </controlPr>
            </control>
          </mc:Choice>
        </mc:AlternateContent>
        <mc:AlternateContent xmlns:mc="http://schemas.openxmlformats.org/markup-compatibility/2006">
          <mc:Choice Requires="x14">
            <control shapeId="366783" r:id="rId78" name="Check Box 191">
              <controlPr defaultSize="0" autoFill="0" autoLine="0" autoPict="0">
                <anchor moveWithCells="1">
                  <from>
                    <xdr:col>1</xdr:col>
                    <xdr:colOff>12700</xdr:colOff>
                    <xdr:row>103</xdr:row>
                    <xdr:rowOff>12700</xdr:rowOff>
                  </from>
                  <to>
                    <xdr:col>1</xdr:col>
                    <xdr:colOff>1104900</xdr:colOff>
                    <xdr:row>103</xdr:row>
                    <xdr:rowOff>266700</xdr:rowOff>
                  </to>
                </anchor>
              </controlPr>
            </control>
          </mc:Choice>
        </mc:AlternateContent>
        <mc:AlternateContent xmlns:mc="http://schemas.openxmlformats.org/markup-compatibility/2006">
          <mc:Choice Requires="x14">
            <control shapeId="366872" r:id="rId79" name="Check Box 280">
              <controlPr defaultSize="0" autoFill="0" autoLine="0" autoPict="0">
                <anchor moveWithCells="1">
                  <from>
                    <xdr:col>1</xdr:col>
                    <xdr:colOff>12700</xdr:colOff>
                    <xdr:row>107</xdr:row>
                    <xdr:rowOff>12700</xdr:rowOff>
                  </from>
                  <to>
                    <xdr:col>1</xdr:col>
                    <xdr:colOff>1104900</xdr:colOff>
                    <xdr:row>107</xdr:row>
                    <xdr:rowOff>266700</xdr:rowOff>
                  </to>
                </anchor>
              </controlPr>
            </control>
          </mc:Choice>
        </mc:AlternateContent>
        <mc:AlternateContent xmlns:mc="http://schemas.openxmlformats.org/markup-compatibility/2006">
          <mc:Choice Requires="x14">
            <control shapeId="366873" r:id="rId80" name="Check Box 281">
              <controlPr defaultSize="0" autoFill="0" autoLine="0" autoPict="0">
                <anchor moveWithCells="1">
                  <from>
                    <xdr:col>2</xdr:col>
                    <xdr:colOff>12700</xdr:colOff>
                    <xdr:row>107</xdr:row>
                    <xdr:rowOff>12700</xdr:rowOff>
                  </from>
                  <to>
                    <xdr:col>2</xdr:col>
                    <xdr:colOff>908050</xdr:colOff>
                    <xdr:row>107</xdr:row>
                    <xdr:rowOff>266700</xdr:rowOff>
                  </to>
                </anchor>
              </controlPr>
            </control>
          </mc:Choice>
        </mc:AlternateContent>
        <mc:AlternateContent xmlns:mc="http://schemas.openxmlformats.org/markup-compatibility/2006">
          <mc:Choice Requires="x14">
            <control shapeId="366874" r:id="rId81" name="Check Box 282">
              <controlPr defaultSize="0" autoFill="0" autoLine="0" autoPict="0">
                <anchor moveWithCells="1">
                  <from>
                    <xdr:col>3</xdr:col>
                    <xdr:colOff>12700</xdr:colOff>
                    <xdr:row>107</xdr:row>
                    <xdr:rowOff>12700</xdr:rowOff>
                  </from>
                  <to>
                    <xdr:col>3</xdr:col>
                    <xdr:colOff>908050</xdr:colOff>
                    <xdr:row>107</xdr:row>
                    <xdr:rowOff>266700</xdr:rowOff>
                  </to>
                </anchor>
              </controlPr>
            </control>
          </mc:Choice>
        </mc:AlternateContent>
        <mc:AlternateContent xmlns:mc="http://schemas.openxmlformats.org/markup-compatibility/2006">
          <mc:Choice Requires="x14">
            <control shapeId="366875" r:id="rId82" name="Check Box 283">
              <controlPr defaultSize="0" autoFill="0" autoLine="0" autoPict="0">
                <anchor moveWithCells="1">
                  <from>
                    <xdr:col>4</xdr:col>
                    <xdr:colOff>12700</xdr:colOff>
                    <xdr:row>107</xdr:row>
                    <xdr:rowOff>12700</xdr:rowOff>
                  </from>
                  <to>
                    <xdr:col>4</xdr:col>
                    <xdr:colOff>908050</xdr:colOff>
                    <xdr:row>107</xdr:row>
                    <xdr:rowOff>266700</xdr:rowOff>
                  </to>
                </anchor>
              </controlPr>
            </control>
          </mc:Choice>
        </mc:AlternateContent>
        <mc:AlternateContent xmlns:mc="http://schemas.openxmlformats.org/markup-compatibility/2006">
          <mc:Choice Requires="x14">
            <control shapeId="366876" r:id="rId83" name="Check Box 284">
              <controlPr defaultSize="0" autoFill="0" autoLine="0" autoPict="0">
                <anchor moveWithCells="1">
                  <from>
                    <xdr:col>5</xdr:col>
                    <xdr:colOff>12700</xdr:colOff>
                    <xdr:row>107</xdr:row>
                    <xdr:rowOff>12700</xdr:rowOff>
                  </from>
                  <to>
                    <xdr:col>5</xdr:col>
                    <xdr:colOff>908050</xdr:colOff>
                    <xdr:row>107</xdr:row>
                    <xdr:rowOff>266700</xdr:rowOff>
                  </to>
                </anchor>
              </controlPr>
            </control>
          </mc:Choice>
        </mc:AlternateContent>
        <mc:AlternateContent xmlns:mc="http://schemas.openxmlformats.org/markup-compatibility/2006">
          <mc:Choice Requires="x14">
            <control shapeId="366877" r:id="rId84" name="Check Box 285">
              <controlPr defaultSize="0" autoFill="0" autoLine="0" autoPict="0">
                <anchor moveWithCells="1">
                  <from>
                    <xdr:col>6</xdr:col>
                    <xdr:colOff>12700</xdr:colOff>
                    <xdr:row>107</xdr:row>
                    <xdr:rowOff>12700</xdr:rowOff>
                  </from>
                  <to>
                    <xdr:col>6</xdr:col>
                    <xdr:colOff>908050</xdr:colOff>
                    <xdr:row>107</xdr:row>
                    <xdr:rowOff>266700</xdr:rowOff>
                  </to>
                </anchor>
              </controlPr>
            </control>
          </mc:Choice>
        </mc:AlternateContent>
        <mc:AlternateContent xmlns:mc="http://schemas.openxmlformats.org/markup-compatibility/2006">
          <mc:Choice Requires="x14">
            <control shapeId="366878" r:id="rId85" name="Check Box 286">
              <controlPr defaultSize="0" autoFill="0" autoLine="0" autoPict="0">
                <anchor moveWithCells="1">
                  <from>
                    <xdr:col>1</xdr:col>
                    <xdr:colOff>12700</xdr:colOff>
                    <xdr:row>92</xdr:row>
                    <xdr:rowOff>12700</xdr:rowOff>
                  </from>
                  <to>
                    <xdr:col>1</xdr:col>
                    <xdr:colOff>1104900</xdr:colOff>
                    <xdr:row>92</xdr:row>
                    <xdr:rowOff>266700</xdr:rowOff>
                  </to>
                </anchor>
              </controlPr>
            </control>
          </mc:Choice>
        </mc:AlternateContent>
        <mc:AlternateContent xmlns:mc="http://schemas.openxmlformats.org/markup-compatibility/2006">
          <mc:Choice Requires="x14">
            <control shapeId="366879" r:id="rId86" name="Check Box 287">
              <controlPr defaultSize="0" autoFill="0" autoLine="0" autoPict="0">
                <anchor moveWithCells="1">
                  <from>
                    <xdr:col>11</xdr:col>
                    <xdr:colOff>12700</xdr:colOff>
                    <xdr:row>148</xdr:row>
                    <xdr:rowOff>12700</xdr:rowOff>
                  </from>
                  <to>
                    <xdr:col>11</xdr:col>
                    <xdr:colOff>908050</xdr:colOff>
                    <xdr:row>148</xdr:row>
                    <xdr:rowOff>266700</xdr:rowOff>
                  </to>
                </anchor>
              </controlPr>
            </control>
          </mc:Choice>
        </mc:AlternateContent>
        <mc:AlternateContent xmlns:mc="http://schemas.openxmlformats.org/markup-compatibility/2006">
          <mc:Choice Requires="x14">
            <control shapeId="366880" r:id="rId87" name="Check Box 288">
              <controlPr defaultSize="0" autoFill="0" autoLine="0" autoPict="0">
                <anchor moveWithCells="1">
                  <from>
                    <xdr:col>5</xdr:col>
                    <xdr:colOff>12700</xdr:colOff>
                    <xdr:row>2</xdr:row>
                    <xdr:rowOff>12700</xdr:rowOff>
                  </from>
                  <to>
                    <xdr:col>5</xdr:col>
                    <xdr:colOff>908050</xdr:colOff>
                    <xdr:row>20</xdr:row>
                    <xdr:rowOff>254000</xdr:rowOff>
                  </to>
                </anchor>
              </controlPr>
            </control>
          </mc:Choice>
        </mc:AlternateContent>
        <mc:AlternateContent xmlns:mc="http://schemas.openxmlformats.org/markup-compatibility/2006">
          <mc:Choice Requires="x14">
            <control shapeId="366881" r:id="rId88" name="Check Box 289">
              <controlPr defaultSize="0" autoFill="0" autoLine="0" autoPict="0">
                <anchor moveWithCells="1">
                  <from>
                    <xdr:col>6</xdr:col>
                    <xdr:colOff>12700</xdr:colOff>
                    <xdr:row>111</xdr:row>
                    <xdr:rowOff>12700</xdr:rowOff>
                  </from>
                  <to>
                    <xdr:col>6</xdr:col>
                    <xdr:colOff>908050</xdr:colOff>
                    <xdr:row>111</xdr:row>
                    <xdr:rowOff>266700</xdr:rowOff>
                  </to>
                </anchor>
              </controlPr>
            </control>
          </mc:Choice>
        </mc:AlternateContent>
        <mc:AlternateContent xmlns:mc="http://schemas.openxmlformats.org/markup-compatibility/2006">
          <mc:Choice Requires="x14">
            <control shapeId="366882" r:id="rId89" name="Check Box 290">
              <controlPr defaultSize="0" autoFill="0" autoLine="0" autoPict="0">
                <anchor moveWithCells="1">
                  <from>
                    <xdr:col>1</xdr:col>
                    <xdr:colOff>12700</xdr:colOff>
                    <xdr:row>94</xdr:row>
                    <xdr:rowOff>12700</xdr:rowOff>
                  </from>
                  <to>
                    <xdr:col>1</xdr:col>
                    <xdr:colOff>1104900</xdr:colOff>
                    <xdr:row>94</xdr:row>
                    <xdr:rowOff>266700</xdr:rowOff>
                  </to>
                </anchor>
              </controlPr>
            </control>
          </mc:Choice>
        </mc:AlternateContent>
        <mc:AlternateContent xmlns:mc="http://schemas.openxmlformats.org/markup-compatibility/2006">
          <mc:Choice Requires="x14">
            <control shapeId="366883" r:id="rId90" name="Check Box 291">
              <controlPr defaultSize="0" autoFill="0" autoLine="0" autoPict="0">
                <anchor moveWithCells="1">
                  <from>
                    <xdr:col>2</xdr:col>
                    <xdr:colOff>12700</xdr:colOff>
                    <xdr:row>170</xdr:row>
                    <xdr:rowOff>12700</xdr:rowOff>
                  </from>
                  <to>
                    <xdr:col>2</xdr:col>
                    <xdr:colOff>908050</xdr:colOff>
                    <xdr:row>170</xdr:row>
                    <xdr:rowOff>266700</xdr:rowOff>
                  </to>
                </anchor>
              </controlPr>
            </control>
          </mc:Choice>
        </mc:AlternateContent>
        <mc:AlternateContent xmlns:mc="http://schemas.openxmlformats.org/markup-compatibility/2006">
          <mc:Choice Requires="x14">
            <control shapeId="366884" r:id="rId91" name="Check Box 292">
              <controlPr defaultSize="0" autoFill="0" autoLine="0" autoPict="0">
                <anchor moveWithCells="1">
                  <from>
                    <xdr:col>3</xdr:col>
                    <xdr:colOff>12700</xdr:colOff>
                    <xdr:row>2</xdr:row>
                    <xdr:rowOff>12700</xdr:rowOff>
                  </from>
                  <to>
                    <xdr:col>3</xdr:col>
                    <xdr:colOff>908050</xdr:colOff>
                    <xdr:row>20</xdr:row>
                    <xdr:rowOff>254000</xdr:rowOff>
                  </to>
                </anchor>
              </controlPr>
            </control>
          </mc:Choice>
        </mc:AlternateContent>
        <mc:AlternateContent xmlns:mc="http://schemas.openxmlformats.org/markup-compatibility/2006">
          <mc:Choice Requires="x14">
            <control shapeId="366885" r:id="rId92" name="Check Box 293">
              <controlPr defaultSize="0" print="0" autoFill="0" autoLine="0" autoPict="0">
                <anchor moveWithCells="1">
                  <from>
                    <xdr:col>1</xdr:col>
                    <xdr:colOff>12700</xdr:colOff>
                    <xdr:row>77</xdr:row>
                    <xdr:rowOff>12700</xdr:rowOff>
                  </from>
                  <to>
                    <xdr:col>1</xdr:col>
                    <xdr:colOff>1098550</xdr:colOff>
                    <xdr:row>77</xdr:row>
                    <xdr:rowOff>266700</xdr:rowOff>
                  </to>
                </anchor>
              </controlPr>
            </control>
          </mc:Choice>
        </mc:AlternateContent>
        <mc:AlternateContent xmlns:mc="http://schemas.openxmlformats.org/markup-compatibility/2006">
          <mc:Choice Requires="x14">
            <control shapeId="366888" r:id="rId93" name="Check Box 296">
              <controlPr defaultSize="0" autoFill="0" autoLine="0" autoPict="0">
                <anchor moveWithCells="1">
                  <from>
                    <xdr:col>1</xdr:col>
                    <xdr:colOff>12700</xdr:colOff>
                    <xdr:row>151</xdr:row>
                    <xdr:rowOff>12700</xdr:rowOff>
                  </from>
                  <to>
                    <xdr:col>1</xdr:col>
                    <xdr:colOff>1104900</xdr:colOff>
                    <xdr:row>151</xdr:row>
                    <xdr:rowOff>266700</xdr:rowOff>
                  </to>
                </anchor>
              </controlPr>
            </control>
          </mc:Choice>
        </mc:AlternateContent>
        <mc:AlternateContent xmlns:mc="http://schemas.openxmlformats.org/markup-compatibility/2006">
          <mc:Choice Requires="x14">
            <control shapeId="366889" r:id="rId94" name="Check Box 297">
              <controlPr defaultSize="0" autoFill="0" autoLine="0" autoPict="0">
                <anchor moveWithCells="1">
                  <from>
                    <xdr:col>2</xdr:col>
                    <xdr:colOff>12700</xdr:colOff>
                    <xdr:row>151</xdr:row>
                    <xdr:rowOff>12700</xdr:rowOff>
                  </from>
                  <to>
                    <xdr:col>2</xdr:col>
                    <xdr:colOff>908050</xdr:colOff>
                    <xdr:row>151</xdr:row>
                    <xdr:rowOff>266700</xdr:rowOff>
                  </to>
                </anchor>
              </controlPr>
            </control>
          </mc:Choice>
        </mc:AlternateContent>
        <mc:AlternateContent xmlns:mc="http://schemas.openxmlformats.org/markup-compatibility/2006">
          <mc:Choice Requires="x14">
            <control shapeId="366721" r:id="rId95" name="Check Box 129">
              <controlPr defaultSize="0" autoFill="0" autoLine="0" autoPict="0">
                <anchor moveWithCells="1">
                  <from>
                    <xdr:col>2</xdr:col>
                    <xdr:colOff>12700</xdr:colOff>
                    <xdr:row>160</xdr:row>
                    <xdr:rowOff>12700</xdr:rowOff>
                  </from>
                  <to>
                    <xdr:col>2</xdr:col>
                    <xdr:colOff>908050</xdr:colOff>
                    <xdr:row>160</xdr:row>
                    <xdr:rowOff>266700</xdr:rowOff>
                  </to>
                </anchor>
              </controlPr>
            </control>
          </mc:Choice>
        </mc:AlternateContent>
        <mc:AlternateContent xmlns:mc="http://schemas.openxmlformats.org/markup-compatibility/2006">
          <mc:Choice Requires="x14">
            <control shapeId="366722" r:id="rId96" name="Check Box 130">
              <controlPr defaultSize="0" autoFill="0" autoLine="0" autoPict="0">
                <anchor moveWithCells="1">
                  <from>
                    <xdr:col>3</xdr:col>
                    <xdr:colOff>12700</xdr:colOff>
                    <xdr:row>160</xdr:row>
                    <xdr:rowOff>12700</xdr:rowOff>
                  </from>
                  <to>
                    <xdr:col>3</xdr:col>
                    <xdr:colOff>908050</xdr:colOff>
                    <xdr:row>160</xdr:row>
                    <xdr:rowOff>266700</xdr:rowOff>
                  </to>
                </anchor>
              </controlPr>
            </control>
          </mc:Choice>
        </mc:AlternateContent>
        <mc:AlternateContent xmlns:mc="http://schemas.openxmlformats.org/markup-compatibility/2006">
          <mc:Choice Requires="x14">
            <control shapeId="366725" r:id="rId97" name="Check Box 133">
              <controlPr defaultSize="0" autoFill="0" autoLine="0" autoPict="0">
                <anchor moveWithCells="1">
                  <from>
                    <xdr:col>4</xdr:col>
                    <xdr:colOff>12700</xdr:colOff>
                    <xdr:row>160</xdr:row>
                    <xdr:rowOff>12700</xdr:rowOff>
                  </from>
                  <to>
                    <xdr:col>4</xdr:col>
                    <xdr:colOff>908050</xdr:colOff>
                    <xdr:row>160</xdr:row>
                    <xdr:rowOff>266700</xdr:rowOff>
                  </to>
                </anchor>
              </controlPr>
            </control>
          </mc:Choice>
        </mc:AlternateContent>
        <mc:AlternateContent xmlns:mc="http://schemas.openxmlformats.org/markup-compatibility/2006">
          <mc:Choice Requires="x14">
            <control shapeId="366890" r:id="rId98" name="Check Box 298">
              <controlPr defaultSize="0" autoFill="0" autoLine="0" autoPict="0">
                <anchor moveWithCells="1">
                  <from>
                    <xdr:col>11</xdr:col>
                    <xdr:colOff>12700</xdr:colOff>
                    <xdr:row>32</xdr:row>
                    <xdr:rowOff>12700</xdr:rowOff>
                  </from>
                  <to>
                    <xdr:col>11</xdr:col>
                    <xdr:colOff>908050</xdr:colOff>
                    <xdr:row>32</xdr:row>
                    <xdr:rowOff>266700</xdr:rowOff>
                  </to>
                </anchor>
              </controlPr>
            </control>
          </mc:Choice>
        </mc:AlternateContent>
        <mc:AlternateContent xmlns:mc="http://schemas.openxmlformats.org/markup-compatibility/2006">
          <mc:Choice Requires="x14">
            <control shapeId="366891" r:id="rId99" name="Check Box 299">
              <controlPr defaultSize="0" autoFill="0" autoLine="0" autoPict="0">
                <anchor moveWithCells="1">
                  <from>
                    <xdr:col>7</xdr:col>
                    <xdr:colOff>12700</xdr:colOff>
                    <xdr:row>100</xdr:row>
                    <xdr:rowOff>12700</xdr:rowOff>
                  </from>
                  <to>
                    <xdr:col>7</xdr:col>
                    <xdr:colOff>908050</xdr:colOff>
                    <xdr:row>100</xdr:row>
                    <xdr:rowOff>266700</xdr:rowOff>
                  </to>
                </anchor>
              </controlPr>
            </control>
          </mc:Choice>
        </mc:AlternateContent>
        <mc:AlternateContent xmlns:mc="http://schemas.openxmlformats.org/markup-compatibility/2006">
          <mc:Choice Requires="x14">
            <control shapeId="366892" r:id="rId100" name="Check Box 300">
              <controlPr defaultSize="0" print="0" autoFill="0" autoLine="0" autoPict="0">
                <anchor moveWithCells="1">
                  <from>
                    <xdr:col>1</xdr:col>
                    <xdr:colOff>12700</xdr:colOff>
                    <xdr:row>71</xdr:row>
                    <xdr:rowOff>12700</xdr:rowOff>
                  </from>
                  <to>
                    <xdr:col>1</xdr:col>
                    <xdr:colOff>1098550</xdr:colOff>
                    <xdr:row>71</xdr:row>
                    <xdr:rowOff>266700</xdr:rowOff>
                  </to>
                </anchor>
              </controlPr>
            </control>
          </mc:Choice>
        </mc:AlternateContent>
        <mc:AlternateContent xmlns:mc="http://schemas.openxmlformats.org/markup-compatibility/2006">
          <mc:Choice Requires="x14">
            <control shapeId="366893" r:id="rId101" name="Check Box 301">
              <controlPr defaultSize="0" print="0" autoFill="0" autoLine="0" autoPict="0">
                <anchor moveWithCells="1">
                  <from>
                    <xdr:col>1</xdr:col>
                    <xdr:colOff>12700</xdr:colOff>
                    <xdr:row>8</xdr:row>
                    <xdr:rowOff>12700</xdr:rowOff>
                  </from>
                  <to>
                    <xdr:col>1</xdr:col>
                    <xdr:colOff>1098550</xdr:colOff>
                    <xdr:row>20</xdr:row>
                    <xdr:rowOff>254000</xdr:rowOff>
                  </to>
                </anchor>
              </controlPr>
            </control>
          </mc:Choice>
        </mc:AlternateContent>
        <mc:AlternateContent xmlns:mc="http://schemas.openxmlformats.org/markup-compatibility/2006">
          <mc:Choice Requires="x14">
            <control shapeId="366894" r:id="rId102" name="Check Box 302">
              <controlPr defaultSize="0" autoFill="0" autoLine="0" autoPict="0">
                <anchor moveWithCells="1">
                  <from>
                    <xdr:col>6</xdr:col>
                    <xdr:colOff>12700</xdr:colOff>
                    <xdr:row>8</xdr:row>
                    <xdr:rowOff>12700</xdr:rowOff>
                  </from>
                  <to>
                    <xdr:col>6</xdr:col>
                    <xdr:colOff>908050</xdr:colOff>
                    <xdr:row>20</xdr:row>
                    <xdr:rowOff>254000</xdr:rowOff>
                  </to>
                </anchor>
              </controlPr>
            </control>
          </mc:Choice>
        </mc:AlternateContent>
        <mc:AlternateContent xmlns:mc="http://schemas.openxmlformats.org/markup-compatibility/2006">
          <mc:Choice Requires="x14">
            <control shapeId="366895" r:id="rId103" name="Check Box 303">
              <controlPr defaultSize="0" print="0" autoFill="0" autoLine="0" autoPict="0">
                <anchor moveWithCells="1">
                  <from>
                    <xdr:col>1</xdr:col>
                    <xdr:colOff>12700</xdr:colOff>
                    <xdr:row>10</xdr:row>
                    <xdr:rowOff>12700</xdr:rowOff>
                  </from>
                  <to>
                    <xdr:col>1</xdr:col>
                    <xdr:colOff>1098550</xdr:colOff>
                    <xdr:row>20</xdr:row>
                    <xdr:rowOff>254000</xdr:rowOff>
                  </to>
                </anchor>
              </controlPr>
            </control>
          </mc:Choice>
        </mc:AlternateContent>
        <mc:AlternateContent xmlns:mc="http://schemas.openxmlformats.org/markup-compatibility/2006">
          <mc:Choice Requires="x14">
            <control shapeId="366896" r:id="rId104" name="Check Box 304">
              <controlPr defaultSize="0" autoFill="0" autoLine="0" autoPict="0">
                <anchor moveWithCells="1">
                  <from>
                    <xdr:col>6</xdr:col>
                    <xdr:colOff>12700</xdr:colOff>
                    <xdr:row>10</xdr:row>
                    <xdr:rowOff>12700</xdr:rowOff>
                  </from>
                  <to>
                    <xdr:col>6</xdr:col>
                    <xdr:colOff>908050</xdr:colOff>
                    <xdr:row>20</xdr:row>
                    <xdr:rowOff>254000</xdr:rowOff>
                  </to>
                </anchor>
              </controlPr>
            </control>
          </mc:Choice>
        </mc:AlternateContent>
        <mc:AlternateContent xmlns:mc="http://schemas.openxmlformats.org/markup-compatibility/2006">
          <mc:Choice Requires="x14">
            <control shapeId="366897" r:id="rId105" name="Check Box 305">
              <controlPr defaultSize="0" print="0" autoFill="0" autoLine="0" autoPict="0">
                <anchor moveWithCells="1">
                  <from>
                    <xdr:col>1</xdr:col>
                    <xdr:colOff>12700</xdr:colOff>
                    <xdr:row>12</xdr:row>
                    <xdr:rowOff>12700</xdr:rowOff>
                  </from>
                  <to>
                    <xdr:col>1</xdr:col>
                    <xdr:colOff>1098550</xdr:colOff>
                    <xdr:row>20</xdr:row>
                    <xdr:rowOff>254000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 operator="lessThan" id="{82C5C02F-8852-456D-B1D4-BC1B0D0FB0B7}">
            <xm:f>'Pre Audit Dos'!$I$10</xm:f>
            <x14:dxf>
              <font>
                <color rgb="FFC00000"/>
              </font>
              <fill>
                <patternFill>
                  <bgColor rgb="FFFFC7CE"/>
                </patternFill>
              </fill>
            </x14:dxf>
          </x14:cfRule>
          <xm:sqref>D27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2812-B662-44D5-A4E5-C4CD7015C702}">
  <sheetPr codeName="Sheet23"/>
  <dimension ref="A2:B702"/>
  <sheetViews>
    <sheetView tabSelected="1" topLeftCell="A263" zoomScale="115" zoomScaleNormal="115" workbookViewId="0">
      <selection activeCell="B267" sqref="B267"/>
    </sheetView>
  </sheetViews>
  <sheetFormatPr defaultColWidth="9.08984375" defaultRowHeight="14.5"/>
  <cols>
    <col min="1" max="1" width="11" style="204" customWidth="1"/>
    <col min="2" max="2" width="130.36328125" style="205" customWidth="1"/>
    <col min="3" max="16384" width="9.08984375" style="204"/>
  </cols>
  <sheetData>
    <row r="2" spans="1:2" ht="51" customHeight="1">
      <c r="A2" s="230">
        <v>1.1000000000000001</v>
      </c>
      <c r="B2" s="205" t="s">
        <v>1784</v>
      </c>
    </row>
    <row r="3" spans="1:2" ht="48" customHeight="1">
      <c r="A3" s="230"/>
      <c r="B3" s="205" t="s">
        <v>1787</v>
      </c>
    </row>
    <row r="4" spans="1:2">
      <c r="A4" s="230"/>
    </row>
    <row r="5" spans="1:2">
      <c r="A5" s="230"/>
      <c r="B5" s="205" t="s">
        <v>1571</v>
      </c>
    </row>
    <row r="6" spans="1:2">
      <c r="A6" s="230"/>
      <c r="B6" s="205" t="s">
        <v>1572</v>
      </c>
    </row>
    <row r="7" spans="1:2">
      <c r="A7" s="230"/>
    </row>
    <row r="8" spans="1:2" ht="29">
      <c r="A8" s="230">
        <v>1.3</v>
      </c>
      <c r="B8" s="205" t="s">
        <v>1471</v>
      </c>
    </row>
    <row r="9" spans="1:2">
      <c r="A9" s="230"/>
      <c r="B9" s="205" t="s">
        <v>1472</v>
      </c>
    </row>
    <row r="10" spans="1:2">
      <c r="A10" s="230"/>
    </row>
    <row r="11" spans="1:2" ht="72.5">
      <c r="A11" s="230">
        <v>1.4</v>
      </c>
      <c r="B11" s="205" t="s">
        <v>1776</v>
      </c>
    </row>
    <row r="12" spans="1:2" ht="43.5">
      <c r="B12" s="205" t="s">
        <v>1777</v>
      </c>
    </row>
    <row r="14" spans="1:2" ht="29">
      <c r="A14" s="615">
        <v>2.1</v>
      </c>
      <c r="B14" s="205" t="s">
        <v>1602</v>
      </c>
    </row>
    <row r="15" spans="1:2" ht="31.5" customHeight="1">
      <c r="A15" s="615"/>
      <c r="B15" s="205" t="s">
        <v>1603</v>
      </c>
    </row>
    <row r="18" spans="1:2">
      <c r="A18" s="615">
        <v>2.2000000000000002</v>
      </c>
      <c r="B18" s="205" t="s">
        <v>1767</v>
      </c>
    </row>
    <row r="19" spans="1:2">
      <c r="A19" s="615"/>
      <c r="B19" s="205" t="s">
        <v>1697</v>
      </c>
    </row>
    <row r="22" spans="1:2" ht="29">
      <c r="A22" s="204">
        <v>2.4</v>
      </c>
      <c r="B22" s="205" t="s">
        <v>1605</v>
      </c>
    </row>
    <row r="23" spans="1:2">
      <c r="B23" s="205" t="s">
        <v>1604</v>
      </c>
    </row>
    <row r="25" spans="1:2">
      <c r="A25" s="204">
        <v>2.4</v>
      </c>
      <c r="B25" s="205" t="s">
        <v>1608</v>
      </c>
    </row>
    <row r="26" spans="1:2" ht="29">
      <c r="B26" s="205" t="s">
        <v>1609</v>
      </c>
    </row>
    <row r="29" spans="1:2">
      <c r="A29" s="204">
        <v>2.5</v>
      </c>
      <c r="B29" s="205" t="s">
        <v>1610</v>
      </c>
    </row>
    <row r="30" spans="1:2" ht="29">
      <c r="B30" s="205" t="s">
        <v>1611</v>
      </c>
    </row>
    <row r="32" spans="1:2" ht="43.5">
      <c r="A32" s="614" t="s">
        <v>1333</v>
      </c>
      <c r="B32" s="205" t="s">
        <v>1334</v>
      </c>
    </row>
    <row r="33" spans="1:2">
      <c r="A33" s="615"/>
      <c r="B33" s="205" t="s">
        <v>1335</v>
      </c>
    </row>
    <row r="34" spans="1:2" ht="29">
      <c r="A34" s="615"/>
      <c r="B34" s="205" t="s">
        <v>1332</v>
      </c>
    </row>
    <row r="35" spans="1:2">
      <c r="A35" s="615"/>
      <c r="B35" s="205" t="s">
        <v>1330</v>
      </c>
    </row>
    <row r="36" spans="1:2">
      <c r="A36" s="615"/>
      <c r="B36" s="205" t="s">
        <v>1331</v>
      </c>
    </row>
    <row r="37" spans="1:2">
      <c r="A37" s="206"/>
    </row>
    <row r="38" spans="1:2" ht="29">
      <c r="A38" s="614" t="s">
        <v>1455</v>
      </c>
      <c r="B38" s="205" t="s">
        <v>1343</v>
      </c>
    </row>
    <row r="39" spans="1:2">
      <c r="A39" s="614"/>
      <c r="B39" s="205" t="s">
        <v>1456</v>
      </c>
    </row>
    <row r="40" spans="1:2" ht="15" customHeight="1">
      <c r="A40" s="614"/>
      <c r="B40" s="205" t="s">
        <v>1323</v>
      </c>
    </row>
    <row r="41" spans="1:2">
      <c r="A41" s="614"/>
      <c r="B41" s="205" t="s">
        <v>1421</v>
      </c>
    </row>
    <row r="42" spans="1:2" ht="29">
      <c r="A42" s="614"/>
      <c r="B42" s="205" t="s">
        <v>1422</v>
      </c>
    </row>
    <row r="44" spans="1:2">
      <c r="A44" s="614" t="s">
        <v>1326</v>
      </c>
      <c r="B44" s="205" t="s">
        <v>1458</v>
      </c>
    </row>
    <row r="45" spans="1:2">
      <c r="A45" s="614"/>
      <c r="B45" s="205" t="s">
        <v>1423</v>
      </c>
    </row>
    <row r="46" spans="1:2">
      <c r="A46" s="614"/>
      <c r="B46" s="205" t="s">
        <v>1324</v>
      </c>
    </row>
    <row r="47" spans="1:2">
      <c r="A47" s="614"/>
      <c r="B47" s="205" t="s">
        <v>1421</v>
      </c>
    </row>
    <row r="48" spans="1:2" ht="29">
      <c r="A48" s="614"/>
      <c r="B48" s="207" t="s">
        <v>1422</v>
      </c>
    </row>
    <row r="50" spans="1:2" ht="29">
      <c r="A50" s="614" t="s">
        <v>1336</v>
      </c>
      <c r="B50" s="205" t="s">
        <v>1342</v>
      </c>
    </row>
    <row r="51" spans="1:2">
      <c r="A51" s="614"/>
      <c r="B51" s="205" t="s">
        <v>1344</v>
      </c>
    </row>
    <row r="52" spans="1:2">
      <c r="A52" s="615"/>
      <c r="B52" s="205" t="s">
        <v>1347</v>
      </c>
    </row>
    <row r="53" spans="1:2">
      <c r="A53" s="615"/>
      <c r="B53" s="205" t="s">
        <v>1328</v>
      </c>
    </row>
    <row r="54" spans="1:2">
      <c r="A54" s="615"/>
      <c r="B54" s="205" t="s">
        <v>1329</v>
      </c>
    </row>
    <row r="55" spans="1:2">
      <c r="A55" s="206"/>
    </row>
    <row r="56" spans="1:2">
      <c r="A56" s="614" t="s">
        <v>1340</v>
      </c>
      <c r="B56" s="205" t="s">
        <v>1339</v>
      </c>
    </row>
    <row r="57" spans="1:2">
      <c r="A57" s="615"/>
      <c r="B57" s="205" t="s">
        <v>1345</v>
      </c>
    </row>
    <row r="58" spans="1:2">
      <c r="A58" s="615"/>
      <c r="B58" s="205" t="s">
        <v>1346</v>
      </c>
    </row>
    <row r="59" spans="1:2">
      <c r="A59" s="615"/>
      <c r="B59" s="205" t="s">
        <v>1337</v>
      </c>
    </row>
    <row r="60" spans="1:2">
      <c r="A60" s="615"/>
      <c r="B60" s="205" t="s">
        <v>1338</v>
      </c>
    </row>
    <row r="61" spans="1:2">
      <c r="A61" s="206"/>
    </row>
    <row r="62" spans="1:2" ht="72.5">
      <c r="A62" s="206">
        <v>5.4</v>
      </c>
      <c r="B62" s="205" t="str">
        <f>"Based on personnel interview, site observation, and document review, it was noted that the factory knows about the basic living wage, but does not calculate the local basic living wage in detail, " &amp; "This violates the requirements of the BSCI Code of Conduct.  "&amp;"Therefore, the auditor used the basic living wage CNY " &amp;'Pre Audit Dos'!D6&amp; " which was calculated through Anker’s methodology based on the data from local government. The total income during regular working hours for "&amp;uniform!I34&amp;" out of "&amp;uniform!C27&amp;" sampled workers was CNY"&amp;uniform!K32&amp;" per month,  which was "&amp;IF(uniform!K32&gt;'Pre Audit Dos'!D6,"higher","lower")&amp;" than the calculated basic living wage level. "&amp;"Due to the high probability of problems occurring in sampling, this problem is rated as No."</f>
        <v>Based on personnel interview, site observation, and document review, it was noted that the factory knows about the basic living wage, but does not calculate the local basic living wage in detail, This violates the requirements of the BSCI Code of Conduct.  Therefore, the auditor used the basic living wage CNY 3234.74 which was calculated through Anker’s methodology based on the data from local government. The total income during regular working hours for 5 out of 6 sampled workers was CNY3100 per month,  which was lower than the calculated basic living wage level. Due to the high probability of problems occurring in sampling, this problem is rated as No.</v>
      </c>
    </row>
    <row r="63" spans="1:2" ht="43.5">
      <c r="A63" s="206"/>
      <c r="B63" s="205" t="str">
        <f>"根据人员访谈，现场观察和文件查阅，发现工厂对基本生活工资有所了解，但并没有详细计算当地基本生活工资的数据，这违反了BSCI行为准则的要求。因此，审计员使用了根据Anker方法基于当地政府数据计算出的生活需求工资"&amp;'Pre Audit Dos'!D6&amp;"元。总共"&amp;uniform!C27&amp;"个抽样人员中有"&amp;uniform!I34&amp;"个在正常工作时间内的总收入为每月"&amp;uniform!K32&amp;"元，"&amp;IF(uniform!K32&gt;'Pre Audit Dos'!D6,"高于","低于")&amp;"计算好的生活需求工资水平。"&amp;"由于抽样中问题发生的概率较高，本问题被评分为不符合."</f>
        <v>根据人员访谈，现场观察和文件查阅，发现工厂对基本生活工资有所了解，但并没有详细计算当地基本生活工资的数据，这违反了BSCI行为准则的要求。因此，审计员使用了根据Anker方法基于当地政府数据计算出的生活需求工资3234.74元。总共6个抽样人员中有5个在正常工作时间内的总收入为每月3100元，低于计算好的生活需求工资水平。由于抽样中问题发生的概率较高，本问题被评分为不符合.</v>
      </c>
    </row>
    <row r="64" spans="1:2" ht="17" customHeight="1">
      <c r="A64" s="206"/>
      <c r="B64" s="279" t="str">
        <f>"#LivingWage: [The audited factory was located in "&amp;ftyCity &amp;" City, which cannot be found on the GLWC website. So the auditor used the basic living wage CNY"&amp;'Pre Audit Dos'!D6&amp;", which was manually collected and calculated by the auditor through Anker's methodology. "&amp;"The Living wage calculation technique used by the auditor is to be inquired the resident consumption parameters published on the local government's public website and yearbook. "&amp;"Afterwards, there are calculated the relevant data of local living wage according to the proportion of Anker methodology of the key parameters. Relevant data comes from the website or yearbook data published by the local government. "&amp;"BLW calculation manually collected by the auditor is uploaded as part of the report attachments.]"</f>
        <v>#LivingWage: [The audited factory was located in Guangzhou City, which cannot be found on the GLWC website. So the auditor used the basic living wage CNY3234.74, which was manually collected and calculated by the auditor through Anker's methodology. The Living wage calculation technique used by the auditor is to be inquired the resident consumption parameters published on the local government's public website and yearbook. Afterwards, there are calculated the relevant data of local living wage according to the proportion of Anker methodology of the key parameters. Relevant data comes from the website or yearbook data published by the local government. BLW calculation manually collected by the auditor is uploaded as part of the report attachments.]</v>
      </c>
    </row>
    <row r="65" spans="1:2" ht="15" customHeight="1">
      <c r="A65" s="206"/>
      <c r="B65" s="279" t="str">
        <f>"#生活工资：[被审核工厂位于"&amp;'Pre Audit Dos'!E5&amp;"市，无法从GLWC网站上寻找到相应数据。因此审核员采用基本生活工资为"&amp;'Pre Audit Dos'!D6&amp;"元，其为审核员采用恩格尔方法人工计算所得。审核员采用的生活工资计算方法是从当地政府公开网站上以及地方年鉴上获得居民消费参数，然后根据恩格尔方法的比例计算相应的生活工资数据。相应的数据来源于当地政府公布的数据或当地年鉴，而基本生活工资计算收集信息作为附件上传了平台。]"</f>
        <v>#生活工资：[被审核工厂位于市，无法从GLWC网站上寻找到相应数据。因此审核员采用基本生活工资为3234.74元，其为审核员采用恩格尔方法人工计算所得。审核员采用的生活工资计算方法是从当地政府公开网站上以及地方年鉴上获得居民消费参数，然后根据恩格尔方法的比例计算相应的生活工资数据。相应的数据来源于当地政府公布的数据或当地年鉴，而基本生活工资计算收集信息作为附件上传了平台。]</v>
      </c>
    </row>
    <row r="66" spans="1:2" ht="29">
      <c r="A66" s="206">
        <v>5.5</v>
      </c>
      <c r="B66" s="205" t="s">
        <v>1786</v>
      </c>
    </row>
    <row r="67" spans="1:2">
      <c r="A67" s="206"/>
      <c r="B67" s="205" t="s">
        <v>1785</v>
      </c>
    </row>
    <row r="68" spans="1:2">
      <c r="A68" s="206"/>
    </row>
    <row r="69" spans="1:2">
      <c r="A69" s="206"/>
    </row>
    <row r="70" spans="1:2">
      <c r="A70" s="206">
        <v>5.5</v>
      </c>
      <c r="B70" s="205" t="s">
        <v>1593</v>
      </c>
    </row>
    <row r="71" spans="1:2">
      <c r="A71" s="206"/>
      <c r="B71" s="205" t="s">
        <v>1591</v>
      </c>
    </row>
    <row r="72" spans="1:2">
      <c r="A72" s="206"/>
      <c r="B72" s="205" t="s">
        <v>1592</v>
      </c>
    </row>
    <row r="73" spans="1:2">
      <c r="A73" s="206"/>
      <c r="B73" s="205" t="s">
        <v>1589</v>
      </c>
    </row>
    <row r="74" spans="1:2" ht="29">
      <c r="A74" s="206"/>
      <c r="B74" s="205" t="s">
        <v>1590</v>
      </c>
    </row>
    <row r="75" spans="1:2" ht="43.5">
      <c r="A75" s="206">
        <v>6.1</v>
      </c>
      <c r="B75" s="205" t="s">
        <v>1561</v>
      </c>
    </row>
    <row r="76" spans="1:2" ht="43.5">
      <c r="A76" s="206"/>
      <c r="B76" s="205" t="s">
        <v>1560</v>
      </c>
    </row>
    <row r="78" spans="1:2" ht="29">
      <c r="A78" s="614" t="s">
        <v>1295</v>
      </c>
      <c r="B78" s="205" t="s">
        <v>1294</v>
      </c>
    </row>
    <row r="79" spans="1:2" ht="29">
      <c r="A79" s="614"/>
      <c r="B79" s="205" t="s">
        <v>1782</v>
      </c>
    </row>
    <row r="80" spans="1:2">
      <c r="A80" s="614"/>
      <c r="B80" s="205" t="s">
        <v>1293</v>
      </c>
    </row>
    <row r="81" spans="1:2" ht="16.5" customHeight="1">
      <c r="A81" s="614"/>
      <c r="B81" s="208" t="s">
        <v>1783</v>
      </c>
    </row>
    <row r="82" spans="1:2" ht="29">
      <c r="A82" s="614"/>
      <c r="B82" s="208" t="s">
        <v>1325</v>
      </c>
    </row>
    <row r="83" spans="1:2">
      <c r="A83" s="209"/>
      <c r="B83" s="208"/>
    </row>
    <row r="84" spans="1:2">
      <c r="A84" s="614" t="s">
        <v>1299</v>
      </c>
      <c r="B84" s="208" t="s">
        <v>1298</v>
      </c>
    </row>
    <row r="85" spans="1:2">
      <c r="A85" s="614"/>
      <c r="B85" s="208" t="s">
        <v>1300</v>
      </c>
    </row>
    <row r="86" spans="1:2">
      <c r="A86" s="614"/>
      <c r="B86" s="208" t="s">
        <v>1304</v>
      </c>
    </row>
    <row r="87" spans="1:2">
      <c r="A87" s="614"/>
      <c r="B87" s="208" t="s">
        <v>1296</v>
      </c>
    </row>
    <row r="88" spans="1:2" ht="58">
      <c r="A88" s="614"/>
      <c r="B88" s="208" t="s">
        <v>1297</v>
      </c>
    </row>
    <row r="89" spans="1:2">
      <c r="A89" s="209"/>
      <c r="B89" s="208"/>
    </row>
    <row r="90" spans="1:2">
      <c r="A90" s="209"/>
      <c r="B90" s="208"/>
    </row>
    <row r="91" spans="1:2" ht="87">
      <c r="A91" s="209"/>
      <c r="B91" s="208" t="s">
        <v>1453</v>
      </c>
    </row>
    <row r="92" spans="1:2">
      <c r="A92" s="209"/>
      <c r="B92" s="208" t="s">
        <v>1454</v>
      </c>
    </row>
    <row r="93" spans="1:2" ht="43.5">
      <c r="A93" s="209" t="s">
        <v>1452</v>
      </c>
      <c r="B93" s="208" t="s">
        <v>1451</v>
      </c>
    </row>
    <row r="94" spans="1:2">
      <c r="A94" s="209"/>
      <c r="B94" s="208" t="s">
        <v>1450</v>
      </c>
    </row>
    <row r="97" spans="1:2" ht="31.5" customHeight="1">
      <c r="A97" s="614" t="s">
        <v>1305</v>
      </c>
      <c r="B97" s="208" t="s">
        <v>1311</v>
      </c>
    </row>
    <row r="98" spans="1:2">
      <c r="A98" s="614"/>
      <c r="B98" s="208" t="s">
        <v>1303</v>
      </c>
    </row>
    <row r="99" spans="1:2" ht="31.5" customHeight="1">
      <c r="A99" s="614"/>
      <c r="B99" s="208" t="s">
        <v>1312</v>
      </c>
    </row>
    <row r="100" spans="1:2">
      <c r="A100" s="614"/>
      <c r="B100" s="208" t="s">
        <v>1301</v>
      </c>
    </row>
    <row r="101" spans="1:2">
      <c r="A101" s="209"/>
      <c r="B101" s="208" t="s">
        <v>1302</v>
      </c>
    </row>
    <row r="102" spans="1:2">
      <c r="A102" s="209"/>
      <c r="B102" s="208"/>
    </row>
    <row r="103" spans="1:2">
      <c r="A103" s="614" t="s">
        <v>1307</v>
      </c>
      <c r="B103" s="208" t="s">
        <v>1306</v>
      </c>
    </row>
    <row r="104" spans="1:2">
      <c r="A104" s="614"/>
      <c r="B104" s="208" t="s">
        <v>1308</v>
      </c>
    </row>
    <row r="105" spans="1:2">
      <c r="A105" s="209"/>
      <c r="B105" s="208"/>
    </row>
    <row r="106" spans="1:2">
      <c r="A106" s="209">
        <v>7.1</v>
      </c>
      <c r="B106" s="208" t="s">
        <v>1641</v>
      </c>
    </row>
    <row r="107" spans="1:2">
      <c r="A107" s="209"/>
      <c r="B107" s="208" t="s">
        <v>1684</v>
      </c>
    </row>
    <row r="108" spans="1:2">
      <c r="A108" s="209"/>
      <c r="B108" s="208" t="s">
        <v>1642</v>
      </c>
    </row>
    <row r="109" spans="1:2">
      <c r="A109" s="209"/>
      <c r="B109" s="208" t="s">
        <v>1706</v>
      </c>
    </row>
    <row r="110" spans="1:2">
      <c r="A110" s="209"/>
      <c r="B110" s="208"/>
    </row>
    <row r="111" spans="1:2" ht="15" customHeight="1">
      <c r="A111" s="209"/>
      <c r="B111" s="208"/>
    </row>
    <row r="112" spans="1:2" ht="15" customHeight="1">
      <c r="A112" s="614" t="s">
        <v>1554</v>
      </c>
      <c r="B112" s="208" t="s">
        <v>1553</v>
      </c>
    </row>
    <row r="113" spans="1:2" ht="15" customHeight="1">
      <c r="A113" s="614"/>
      <c r="B113" s="208" t="s">
        <v>1551</v>
      </c>
    </row>
    <row r="114" spans="1:2" ht="15" customHeight="1">
      <c r="A114" s="614"/>
      <c r="B114" s="208" t="s">
        <v>1552</v>
      </c>
    </row>
    <row r="115" spans="1:2" ht="15" customHeight="1">
      <c r="A115" s="614"/>
      <c r="B115" s="208" t="s">
        <v>1549</v>
      </c>
    </row>
    <row r="116" spans="1:2" ht="15" customHeight="1">
      <c r="A116" s="614"/>
      <c r="B116" s="208" t="s">
        <v>1550</v>
      </c>
    </row>
    <row r="117" spans="1:2" ht="15" customHeight="1">
      <c r="A117" s="209"/>
      <c r="B117" s="208"/>
    </row>
    <row r="118" spans="1:2" ht="15" customHeight="1">
      <c r="A118" s="209"/>
      <c r="B118" s="208"/>
    </row>
    <row r="119" spans="1:2" ht="15" customHeight="1">
      <c r="A119" s="209"/>
      <c r="B119" s="208"/>
    </row>
    <row r="120" spans="1:2">
      <c r="A120" s="614" t="s">
        <v>1360</v>
      </c>
      <c r="B120" s="208" t="e">
        <f>uniform!H76 &amp;" hazardous factors were generated from the "&amp;uniform!E76&amp;" area , where might cause occupational diseases to workers. However, the factory had not conducted occupational hazard factors test."</f>
        <v>#VALUE!</v>
      </c>
    </row>
    <row r="121" spans="1:2">
      <c r="A121" s="614"/>
      <c r="B121" s="208" t="s">
        <v>1726</v>
      </c>
    </row>
    <row r="122" spans="1:2">
      <c r="A122" s="614"/>
      <c r="B122" s="208" t="str">
        <f>uniform!E75&amp;"车间产生"&amp;uniform!H75&amp;"职业危害因素，对员工存在潜在的职业病危害。但是工厂还没有进行职业危害因素检测。"</f>
        <v>注塑和油边车间产生噪音，粉尘和化学品职业危害因素，对员工存在潜在的职业病危害。但是工厂还没有进行职业危害因素检测。</v>
      </c>
    </row>
    <row r="123" spans="1:2">
      <c r="A123" s="614"/>
      <c r="B123" s="208" t="s">
        <v>1724</v>
      </c>
    </row>
    <row r="124" spans="1:2" ht="29">
      <c r="A124" s="614"/>
      <c r="B124" s="205" t="s">
        <v>1725</v>
      </c>
    </row>
    <row r="126" spans="1:2">
      <c r="A126" s="614" t="s">
        <v>1364</v>
      </c>
      <c r="B126" s="205" t="e">
        <f>"The factory did not provide regular occupational health checks to workers in the "&amp;uniform!E76 &amp;" area who were exposed to "&amp;LOWER(uniform!H76)&amp;". "</f>
        <v>#VALUE!</v>
      </c>
    </row>
    <row r="127" spans="1:2">
      <c r="A127" s="615"/>
      <c r="B127" s="205" t="s">
        <v>1363</v>
      </c>
    </row>
    <row r="128" spans="1:2">
      <c r="A128" s="615"/>
      <c r="B128" s="205" t="str">
        <f>"工厂没有为在"&amp;uniform!E75&amp;"车间接触"&amp;uniform!H75&amp;"的员工提供定期的职业病体检。"</f>
        <v>工厂没有为在注塑和油边车间接触噪音，粉尘和化学品的员工提供定期的职业病体检。</v>
      </c>
    </row>
    <row r="129" spans="1:2">
      <c r="A129" s="615"/>
      <c r="B129" s="205" t="s">
        <v>1361</v>
      </c>
    </row>
    <row r="130" spans="1:2" ht="29">
      <c r="A130" s="615"/>
      <c r="B130" s="205" t="s">
        <v>1362</v>
      </c>
    </row>
    <row r="133" spans="1:2" ht="29">
      <c r="A133" s="230">
        <v>7.3</v>
      </c>
      <c r="B133" s="205" t="s">
        <v>1584</v>
      </c>
    </row>
    <row r="134" spans="1:2">
      <c r="A134" s="230"/>
      <c r="B134" s="205" t="s">
        <v>1583</v>
      </c>
    </row>
    <row r="137" spans="1:2">
      <c r="A137" s="617" t="s">
        <v>1219</v>
      </c>
      <c r="B137" s="205" t="s">
        <v>1517</v>
      </c>
    </row>
    <row r="138" spans="1:2">
      <c r="A138" s="617"/>
      <c r="B138" s="205" t="s">
        <v>1218</v>
      </c>
    </row>
    <row r="139" spans="1:2">
      <c r="A139" s="617"/>
      <c r="B139" s="205" t="s">
        <v>1220</v>
      </c>
    </row>
    <row r="140" spans="1:2">
      <c r="A140" s="617"/>
      <c r="B140" s="205" t="s">
        <v>1217</v>
      </c>
    </row>
    <row r="141" spans="1:2" s="205" customFormat="1" ht="29">
      <c r="B141" s="205" t="s">
        <v>1221</v>
      </c>
    </row>
    <row r="142" spans="1:2" s="205" customFormat="1"/>
    <row r="143" spans="1:2" s="205" customFormat="1" ht="29">
      <c r="A143" s="616" t="s">
        <v>1438</v>
      </c>
      <c r="B143" s="205" t="s">
        <v>1436</v>
      </c>
    </row>
    <row r="144" spans="1:2" s="205" customFormat="1">
      <c r="A144" s="616"/>
      <c r="B144" s="205" t="s">
        <v>1440</v>
      </c>
    </row>
    <row r="145" spans="1:2" s="205" customFormat="1" ht="12.75" customHeight="1">
      <c r="A145" s="616"/>
      <c r="B145" s="205" t="s">
        <v>1437</v>
      </c>
    </row>
    <row r="146" spans="1:2" s="205" customFormat="1">
      <c r="A146" s="616"/>
      <c r="B146" s="205" t="s">
        <v>1435</v>
      </c>
    </row>
    <row r="147" spans="1:2" s="205" customFormat="1"/>
    <row r="148" spans="1:2" s="205" customFormat="1" ht="29">
      <c r="A148" s="616" t="s">
        <v>1223</v>
      </c>
      <c r="B148" s="205" t="s">
        <v>1669</v>
      </c>
    </row>
    <row r="149" spans="1:2" s="205" customFormat="1">
      <c r="A149" s="616"/>
      <c r="B149" s="205" t="s">
        <v>1693</v>
      </c>
    </row>
    <row r="150" spans="1:2" s="205" customFormat="1" ht="29">
      <c r="A150" s="616"/>
      <c r="B150" s="205" t="s">
        <v>1668</v>
      </c>
    </row>
    <row r="151" spans="1:2" s="205" customFormat="1">
      <c r="A151" s="616"/>
      <c r="B151" s="205" t="s">
        <v>1692</v>
      </c>
    </row>
    <row r="152" spans="1:2" s="205" customFormat="1" ht="15" customHeight="1">
      <c r="A152" s="616"/>
      <c r="B152" s="205" t="s">
        <v>1222</v>
      </c>
    </row>
    <row r="153" spans="1:2" s="205" customFormat="1" ht="15" customHeight="1">
      <c r="A153" s="210"/>
    </row>
    <row r="154" spans="1:2" s="205" customFormat="1" ht="15" customHeight="1">
      <c r="A154" s="614" t="s">
        <v>1226</v>
      </c>
      <c r="B154" s="205" t="s">
        <v>1478</v>
      </c>
    </row>
    <row r="155" spans="1:2" s="205" customFormat="1" ht="15" customHeight="1">
      <c r="A155" s="614"/>
      <c r="B155" s="205" t="s">
        <v>1225</v>
      </c>
    </row>
    <row r="156" spans="1:2" s="205" customFormat="1" ht="15" customHeight="1">
      <c r="A156" s="614"/>
      <c r="B156" s="205" t="s">
        <v>1479</v>
      </c>
    </row>
    <row r="157" spans="1:2" s="205" customFormat="1" ht="15" customHeight="1">
      <c r="A157" s="614"/>
      <c r="B157" s="205" t="s">
        <v>1230</v>
      </c>
    </row>
    <row r="158" spans="1:2" s="205" customFormat="1" ht="15" customHeight="1">
      <c r="A158" s="614"/>
      <c r="B158" s="205" t="s">
        <v>1224</v>
      </c>
    </row>
    <row r="159" spans="1:2" s="205" customFormat="1" ht="15" customHeight="1">
      <c r="A159" s="210"/>
    </row>
    <row r="160" spans="1:2" s="205" customFormat="1">
      <c r="A160" s="614" t="s">
        <v>1228</v>
      </c>
      <c r="B160" s="205" t="s">
        <v>1643</v>
      </c>
    </row>
    <row r="161" spans="1:2" s="205" customFormat="1" ht="15" customHeight="1">
      <c r="A161" s="614"/>
      <c r="B161" s="205" t="s">
        <v>1679</v>
      </c>
    </row>
    <row r="162" spans="1:2" s="205" customFormat="1">
      <c r="A162" s="614"/>
      <c r="B162" s="205" t="s">
        <v>1644</v>
      </c>
    </row>
    <row r="163" spans="1:2" s="205" customFormat="1" ht="15" customHeight="1">
      <c r="A163" s="614"/>
      <c r="B163" s="205" t="s">
        <v>1229</v>
      </c>
    </row>
    <row r="164" spans="1:2" s="205" customFormat="1" ht="15" customHeight="1">
      <c r="A164" s="614"/>
      <c r="B164" s="205" t="s">
        <v>1227</v>
      </c>
    </row>
    <row r="165" spans="1:2" s="205" customFormat="1" ht="15" customHeight="1">
      <c r="A165" s="210"/>
    </row>
    <row r="166" spans="1:2" s="205" customFormat="1" ht="15" customHeight="1">
      <c r="A166" s="210"/>
    </row>
    <row r="167" spans="1:2" s="205" customFormat="1" ht="15" customHeight="1">
      <c r="A167" s="614" t="s">
        <v>1234</v>
      </c>
      <c r="B167" s="205" t="s">
        <v>1233</v>
      </c>
    </row>
    <row r="168" spans="1:2" s="205" customFormat="1" ht="15" customHeight="1">
      <c r="A168" s="614"/>
      <c r="B168" s="205" t="s">
        <v>1685</v>
      </c>
    </row>
    <row r="169" spans="1:2" s="205" customFormat="1" ht="15" customHeight="1">
      <c r="A169" s="614"/>
      <c r="B169" s="205" t="s">
        <v>1516</v>
      </c>
    </row>
    <row r="170" spans="1:2" s="205" customFormat="1" ht="15" customHeight="1">
      <c r="A170" s="614"/>
      <c r="B170" s="205" t="s">
        <v>1232</v>
      </c>
    </row>
    <row r="171" spans="1:2" s="205" customFormat="1" ht="43.5">
      <c r="A171" s="614"/>
      <c r="B171" s="205" t="s">
        <v>1231</v>
      </c>
    </row>
    <row r="172" spans="1:2" s="205" customFormat="1" ht="15" customHeight="1">
      <c r="A172" s="210"/>
    </row>
    <row r="173" spans="1:2" s="205" customFormat="1" ht="15" customHeight="1">
      <c r="A173" s="614" t="s">
        <v>1237</v>
      </c>
      <c r="B173" s="205" t="s">
        <v>1661</v>
      </c>
    </row>
    <row r="174" spans="1:2" s="205" customFormat="1" ht="15" customHeight="1">
      <c r="A174" s="614"/>
      <c r="B174" s="205" t="s">
        <v>1686</v>
      </c>
    </row>
    <row r="175" spans="1:2" s="205" customFormat="1" ht="15" customHeight="1">
      <c r="A175" s="614"/>
      <c r="B175" s="205" t="s">
        <v>1660</v>
      </c>
    </row>
    <row r="176" spans="1:2" s="205" customFormat="1" ht="15" customHeight="1">
      <c r="A176" s="614"/>
      <c r="B176" s="205" t="s">
        <v>1236</v>
      </c>
    </row>
    <row r="177" spans="1:2" s="205" customFormat="1" ht="15" customHeight="1">
      <c r="A177" s="614"/>
      <c r="B177" s="205" t="s">
        <v>1235</v>
      </c>
    </row>
    <row r="178" spans="1:2" s="205" customFormat="1" ht="15" customHeight="1">
      <c r="A178" s="209"/>
    </row>
    <row r="179" spans="1:2" s="205" customFormat="1" ht="15" customHeight="1">
      <c r="A179" s="614" t="s">
        <v>1544</v>
      </c>
      <c r="B179" s="205" t="s">
        <v>1541</v>
      </c>
    </row>
    <row r="180" spans="1:2" s="205" customFormat="1" ht="15" customHeight="1">
      <c r="A180" s="614"/>
      <c r="B180" s="205" t="s">
        <v>1760</v>
      </c>
    </row>
    <row r="181" spans="1:2" s="205" customFormat="1" ht="15" customHeight="1">
      <c r="A181" s="614"/>
      <c r="B181" s="205" t="s">
        <v>1542</v>
      </c>
    </row>
    <row r="182" spans="1:2" s="205" customFormat="1" ht="15" customHeight="1">
      <c r="A182" s="614"/>
      <c r="B182" s="205" t="s">
        <v>1759</v>
      </c>
    </row>
    <row r="183" spans="1:2" s="205" customFormat="1" ht="15" customHeight="1">
      <c r="A183" s="209"/>
    </row>
    <row r="184" spans="1:2" s="205" customFormat="1" ht="31.5" customHeight="1">
      <c r="A184" s="209">
        <v>7.9</v>
      </c>
      <c r="B184" s="208" t="s">
        <v>1722</v>
      </c>
    </row>
    <row r="185" spans="1:2" s="205" customFormat="1" ht="17" customHeight="1">
      <c r="A185" s="209"/>
      <c r="B185" s="208" t="s">
        <v>1543</v>
      </c>
    </row>
    <row r="186" spans="1:2" s="205" customFormat="1" ht="30" customHeight="1">
      <c r="A186" s="209"/>
      <c r="B186" s="208" t="s">
        <v>1720</v>
      </c>
    </row>
    <row r="187" spans="1:2" s="205" customFormat="1" ht="15" customHeight="1">
      <c r="A187" s="209"/>
      <c r="B187" s="205" t="s">
        <v>1721</v>
      </c>
    </row>
    <row r="188" spans="1:2" s="205" customFormat="1" ht="15" customHeight="1">
      <c r="A188" s="209"/>
    </row>
    <row r="189" spans="1:2" s="205" customFormat="1" ht="15" customHeight="1">
      <c r="A189" s="209"/>
    </row>
    <row r="190" spans="1:2" s="205" customFormat="1" ht="29">
      <c r="A190" s="246" t="s">
        <v>594</v>
      </c>
      <c r="B190" s="205" t="s">
        <v>1562</v>
      </c>
    </row>
    <row r="191" spans="1:2" s="205" customFormat="1">
      <c r="A191" s="209"/>
      <c r="B191" s="205" t="s">
        <v>1563</v>
      </c>
    </row>
    <row r="193" spans="1:2" s="205" customFormat="1" ht="15" customHeight="1">
      <c r="A193" s="614" t="s">
        <v>1247</v>
      </c>
      <c r="B193" s="205" t="str">
        <f>"The fire acceptance report for a 3-story warehouse building was not provided. The building was completed in "&amp;uniform!G97&amp;"."</f>
        <v>The fire acceptance report for a 3-story warehouse building was not provided. The building was completed in .</v>
      </c>
    </row>
    <row r="194" spans="1:2" s="205" customFormat="1" ht="15" customHeight="1">
      <c r="A194" s="614"/>
      <c r="B194" s="205" t="s">
        <v>1246</v>
      </c>
    </row>
    <row r="195" spans="1:2" s="205" customFormat="1" ht="15" customHeight="1">
      <c r="A195" s="614"/>
      <c r="B195" s="205" t="str">
        <f>"一栋8层的建筑物的消防验收合格报告未被提供。该建筑物竣工于"&amp;uniform!G97&amp;"年。"</f>
        <v>一栋8层的建筑物的消防验收合格报告未被提供。该建筑物竣工于年。</v>
      </c>
    </row>
    <row r="196" spans="1:2" s="205" customFormat="1" ht="15" customHeight="1">
      <c r="A196" s="614"/>
      <c r="B196" s="205" t="s">
        <v>1250</v>
      </c>
    </row>
    <row r="197" spans="1:2" s="205" customFormat="1" ht="15" customHeight="1">
      <c r="A197" s="210"/>
    </row>
    <row r="198" spans="1:2" s="205" customFormat="1" ht="15" customHeight="1">
      <c r="A198" s="614" t="s">
        <v>1251</v>
      </c>
      <c r="B198" s="205" t="str">
        <f>"The completion acceptance report for production buildings were not provided. The buildings were completed in "&amp;uniform!G97&amp;"."</f>
        <v>The completion acceptance report for production buildings were not provided. The buildings were completed in .</v>
      </c>
    </row>
    <row r="199" spans="1:2" s="205" customFormat="1" ht="15" customHeight="1">
      <c r="A199" s="614"/>
      <c r="B199" s="205" t="s">
        <v>1248</v>
      </c>
    </row>
    <row r="200" spans="1:2" s="205" customFormat="1" ht="15" customHeight="1">
      <c r="A200" s="614"/>
      <c r="B200" s="205" t="str">
        <f>"厂房的建筑工程竣工验收合格报告未被提供。该建筑物竣工于"&amp;uniform!G97&amp;"年。"</f>
        <v>厂房的建筑工程竣工验收合格报告未被提供。该建筑物竣工于年。</v>
      </c>
    </row>
    <row r="201" spans="1:2" s="205" customFormat="1" ht="15" customHeight="1">
      <c r="A201" s="614"/>
      <c r="B201" s="205" t="s">
        <v>1249</v>
      </c>
    </row>
    <row r="202" spans="1:2" s="205" customFormat="1" ht="15" customHeight="1">
      <c r="A202" s="209"/>
    </row>
    <row r="203" spans="1:2" s="205" customFormat="1" ht="15" customHeight="1">
      <c r="A203" s="614" t="s">
        <v>1442</v>
      </c>
      <c r="B203" s="205" t="s">
        <v>1672</v>
      </c>
    </row>
    <row r="204" spans="1:2" s="205" customFormat="1" ht="15" customHeight="1">
      <c r="A204" s="615"/>
      <c r="B204" s="205" t="s">
        <v>1649</v>
      </c>
    </row>
    <row r="205" spans="1:2" s="205" customFormat="1" ht="15" customHeight="1">
      <c r="A205" s="615"/>
      <c r="B205" s="205" t="s">
        <v>1673</v>
      </c>
    </row>
    <row r="206" spans="1:2" s="205" customFormat="1" ht="15" customHeight="1">
      <c r="A206" s="615"/>
      <c r="B206" s="205" t="s">
        <v>1651</v>
      </c>
    </row>
    <row r="207" spans="1:2" s="205" customFormat="1" ht="15" customHeight="1">
      <c r="A207" s="615"/>
      <c r="B207" s="205" t="s">
        <v>1446</v>
      </c>
    </row>
    <row r="209" spans="1:2" s="205" customFormat="1" ht="15" customHeight="1">
      <c r="A209" s="206"/>
      <c r="B209" s="205" t="s">
        <v>1674</v>
      </c>
    </row>
    <row r="210" spans="1:2" s="205" customFormat="1" ht="15" customHeight="1">
      <c r="A210" s="209"/>
      <c r="B210" s="205" t="s">
        <v>1650</v>
      </c>
    </row>
    <row r="211" spans="1:2" s="205" customFormat="1" ht="15" customHeight="1">
      <c r="A211" s="209">
        <v>7.13</v>
      </c>
      <c r="B211" s="205" t="s">
        <v>1675</v>
      </c>
    </row>
    <row r="212" spans="1:2" s="205" customFormat="1" ht="15" customHeight="1">
      <c r="A212" s="209"/>
      <c r="B212" s="205" t="s">
        <v>1652</v>
      </c>
    </row>
    <row r="213" spans="1:2" s="205" customFormat="1" ht="15" customHeight="1">
      <c r="A213" s="209"/>
    </row>
    <row r="214" spans="1:2" s="205" customFormat="1" ht="15" customHeight="1">
      <c r="A214" s="614" t="s">
        <v>1259</v>
      </c>
      <c r="B214" s="205" t="s">
        <v>1676</v>
      </c>
    </row>
    <row r="215" spans="1:2" s="205" customFormat="1" ht="15" customHeight="1">
      <c r="A215" s="614"/>
      <c r="B215" s="205" t="s">
        <v>1702</v>
      </c>
    </row>
    <row r="216" spans="1:2" s="205" customFormat="1" ht="15" customHeight="1">
      <c r="A216" s="614"/>
      <c r="B216" s="205" t="s">
        <v>1703</v>
      </c>
    </row>
    <row r="217" spans="1:2" s="205" customFormat="1" ht="15" customHeight="1">
      <c r="A217" s="614"/>
      <c r="B217" s="205" t="s">
        <v>1701</v>
      </c>
    </row>
    <row r="218" spans="1:2" s="205" customFormat="1" ht="15" customHeight="1">
      <c r="A218" s="614"/>
      <c r="B218" s="205" t="s">
        <v>1258</v>
      </c>
    </row>
    <row r="219" spans="1:2" s="205" customFormat="1" ht="15" customHeight="1">
      <c r="A219" s="209"/>
    </row>
    <row r="220" spans="1:2" s="205" customFormat="1" ht="15" customHeight="1">
      <c r="A220" s="614" t="s">
        <v>1260</v>
      </c>
      <c r="B220" s="205" t="s">
        <v>1677</v>
      </c>
    </row>
    <row r="221" spans="1:2" s="205" customFormat="1" ht="15" customHeight="1">
      <c r="A221" s="614"/>
      <c r="B221" s="205" t="s">
        <v>1653</v>
      </c>
    </row>
    <row r="222" spans="1:2" s="205" customFormat="1" ht="15" customHeight="1">
      <c r="A222" s="614"/>
      <c r="B222" s="205" t="s">
        <v>1678</v>
      </c>
    </row>
    <row r="223" spans="1:2" s="205" customFormat="1" ht="15" customHeight="1">
      <c r="A223" s="614"/>
      <c r="B223" s="205" t="s">
        <v>1654</v>
      </c>
    </row>
    <row r="225" spans="1:2" s="205" customFormat="1" ht="15" customHeight="1">
      <c r="A225" s="614" t="s">
        <v>1265</v>
      </c>
      <c r="B225" s="205" t="s">
        <v>1263</v>
      </c>
    </row>
    <row r="226" spans="1:2" s="205" customFormat="1" ht="15" customHeight="1">
      <c r="A226" s="614"/>
      <c r="B226" s="205" t="s">
        <v>1264</v>
      </c>
    </row>
    <row r="227" spans="1:2" s="205" customFormat="1" ht="15" customHeight="1">
      <c r="A227" s="614"/>
      <c r="B227" s="205" t="s">
        <v>1261</v>
      </c>
    </row>
    <row r="228" spans="1:2" s="205" customFormat="1" ht="15" customHeight="1">
      <c r="A228" s="614"/>
      <c r="B228" s="205" t="s">
        <v>1262</v>
      </c>
    </row>
    <row r="229" spans="1:2" s="205" customFormat="1" ht="15" customHeight="1">
      <c r="A229" s="209"/>
    </row>
    <row r="230" spans="1:2" s="205" customFormat="1" ht="15" customHeight="1">
      <c r="A230" s="614" t="s">
        <v>1269</v>
      </c>
      <c r="B230" s="205" t="s">
        <v>1485</v>
      </c>
    </row>
    <row r="231" spans="1:2" s="205" customFormat="1" ht="15" customHeight="1">
      <c r="A231" s="614"/>
      <c r="B231" s="205" t="s">
        <v>1268</v>
      </c>
    </row>
    <row r="232" spans="1:2" s="205" customFormat="1" ht="15" customHeight="1">
      <c r="A232" s="614"/>
      <c r="B232" s="205" t="s">
        <v>1267</v>
      </c>
    </row>
    <row r="233" spans="1:2" s="205" customFormat="1" ht="15" customHeight="1">
      <c r="A233" s="614"/>
      <c r="B233" s="205" t="s">
        <v>1426</v>
      </c>
    </row>
    <row r="234" spans="1:2" s="205" customFormat="1" ht="15" customHeight="1">
      <c r="A234" s="614"/>
      <c r="B234" s="205" t="s">
        <v>1266</v>
      </c>
    </row>
    <row r="235" spans="1:2" s="205" customFormat="1" ht="15" customHeight="1">
      <c r="A235" s="209"/>
    </row>
    <row r="236" spans="1:2" s="205" customFormat="1" ht="15" customHeight="1">
      <c r="A236" s="209"/>
    </row>
    <row r="237" spans="1:2" s="205" customFormat="1" ht="15" customHeight="1">
      <c r="A237" s="614" t="s">
        <v>1241</v>
      </c>
      <c r="B237" s="205" t="s">
        <v>1240</v>
      </c>
    </row>
    <row r="238" spans="1:2" s="205" customFormat="1" ht="15" customHeight="1">
      <c r="A238" s="614"/>
      <c r="B238" s="205" t="s">
        <v>1277</v>
      </c>
    </row>
    <row r="239" spans="1:2" s="205" customFormat="1">
      <c r="A239" s="614"/>
      <c r="B239" s="205" t="s">
        <v>1239</v>
      </c>
    </row>
    <row r="240" spans="1:2" s="205" customFormat="1">
      <c r="A240" s="614"/>
      <c r="B240" s="205" t="s">
        <v>1243</v>
      </c>
    </row>
    <row r="241" spans="1:2" s="205" customFormat="1" ht="58.5" customHeight="1">
      <c r="A241" s="614"/>
      <c r="B241" s="205" t="s">
        <v>1242</v>
      </c>
    </row>
    <row r="242" spans="1:2" s="205" customFormat="1" ht="19.5" customHeight="1">
      <c r="A242" s="209"/>
    </row>
    <row r="243" spans="1:2" s="205" customFormat="1" ht="15" customHeight="1">
      <c r="A243" s="614" t="s">
        <v>1486</v>
      </c>
      <c r="B243" s="205" t="s">
        <v>1244</v>
      </c>
    </row>
    <row r="244" spans="1:2" s="205" customFormat="1" ht="15" customHeight="1">
      <c r="A244" s="614"/>
      <c r="B244" s="205" t="s">
        <v>1276</v>
      </c>
    </row>
    <row r="245" spans="1:2" s="205" customFormat="1" ht="15" customHeight="1">
      <c r="A245" s="614"/>
      <c r="B245" s="205" t="s">
        <v>1245</v>
      </c>
    </row>
    <row r="246" spans="1:2" s="205" customFormat="1" ht="15" customHeight="1">
      <c r="A246" s="614"/>
      <c r="B246" s="205" t="s">
        <v>1279</v>
      </c>
    </row>
    <row r="247" spans="1:2" s="205" customFormat="1" ht="43.5">
      <c r="A247" s="614"/>
      <c r="B247" s="205" t="s">
        <v>1278</v>
      </c>
    </row>
    <row r="248" spans="1:2" s="205" customFormat="1" ht="15" customHeight="1">
      <c r="A248" s="210"/>
    </row>
    <row r="249" spans="1:2" s="205" customFormat="1" ht="15" customHeight="1">
      <c r="A249" s="614" t="s">
        <v>1275</v>
      </c>
      <c r="B249" s="205" t="s">
        <v>1274</v>
      </c>
    </row>
    <row r="250" spans="1:2" s="205" customFormat="1" ht="15" customHeight="1">
      <c r="A250" s="614"/>
      <c r="B250" s="205" t="s">
        <v>1273</v>
      </c>
    </row>
    <row r="251" spans="1:2" s="205" customFormat="1" ht="15" customHeight="1">
      <c r="A251" s="614"/>
      <c r="B251" s="205" t="s">
        <v>1271</v>
      </c>
    </row>
    <row r="252" spans="1:2" s="205" customFormat="1" ht="15" customHeight="1">
      <c r="A252" s="614"/>
      <c r="B252" s="205" t="s">
        <v>1272</v>
      </c>
    </row>
    <row r="253" spans="1:2" s="205" customFormat="1" ht="15" customHeight="1">
      <c r="A253" s="209"/>
    </row>
    <row r="254" spans="1:2" s="205" customFormat="1" ht="29">
      <c r="A254" s="614" t="s">
        <v>1487</v>
      </c>
      <c r="B254" s="205" t="s">
        <v>1482</v>
      </c>
    </row>
    <row r="255" spans="1:2" s="205" customFormat="1" ht="15" customHeight="1">
      <c r="A255" s="614"/>
      <c r="B255" s="205" t="s">
        <v>1480</v>
      </c>
    </row>
    <row r="256" spans="1:2" s="205" customFormat="1" ht="15" customHeight="1">
      <c r="A256" s="614"/>
      <c r="B256" s="205" t="s">
        <v>1481</v>
      </c>
    </row>
    <row r="257" spans="1:2" s="205" customFormat="1">
      <c r="A257" s="614"/>
      <c r="B257" s="205" t="s">
        <v>1483</v>
      </c>
    </row>
    <row r="258" spans="1:2" s="205" customFormat="1" ht="29">
      <c r="A258" s="614"/>
      <c r="B258" s="205" t="s">
        <v>1484</v>
      </c>
    </row>
    <row r="259" spans="1:2" s="205" customFormat="1">
      <c r="A259" s="209"/>
    </row>
    <row r="260" spans="1:2" s="205" customFormat="1">
      <c r="A260" s="614" t="s">
        <v>1537</v>
      </c>
      <c r="B260" s="205" t="s">
        <v>1521</v>
      </c>
    </row>
    <row r="261" spans="1:2" s="205" customFormat="1">
      <c r="A261" s="614"/>
      <c r="B261" s="205" t="s">
        <v>1519</v>
      </c>
    </row>
    <row r="262" spans="1:2" s="205" customFormat="1">
      <c r="A262" s="614"/>
      <c r="B262" s="205" t="s">
        <v>1520</v>
      </c>
    </row>
    <row r="263" spans="1:2" s="205" customFormat="1" ht="116">
      <c r="A263" s="614"/>
      <c r="B263" s="205" t="s">
        <v>1518</v>
      </c>
    </row>
    <row r="264" spans="1:2" s="205" customFormat="1">
      <c r="A264" s="209"/>
    </row>
    <row r="265" spans="1:2" s="205" customFormat="1">
      <c r="A265" s="614" t="s">
        <v>1530</v>
      </c>
      <c r="B265" s="205" t="s">
        <v>1529</v>
      </c>
    </row>
    <row r="266" spans="1:2" s="205" customFormat="1">
      <c r="A266" s="614"/>
      <c r="B266" s="205" t="s">
        <v>1527</v>
      </c>
    </row>
    <row r="267" spans="1:2" s="205" customFormat="1">
      <c r="A267" s="614"/>
      <c r="B267" s="205" t="s">
        <v>1528</v>
      </c>
    </row>
    <row r="268" spans="1:2" s="205" customFormat="1">
      <c r="A268" s="614"/>
      <c r="B268" s="205" t="s">
        <v>1525</v>
      </c>
    </row>
    <row r="269" spans="1:2" s="205" customFormat="1" ht="62.25" customHeight="1">
      <c r="A269" s="614"/>
      <c r="B269" s="205" t="s">
        <v>1526</v>
      </c>
    </row>
    <row r="270" spans="1:2" s="205" customFormat="1">
      <c r="A270" s="209"/>
    </row>
    <row r="271" spans="1:2" s="205" customFormat="1">
      <c r="A271" s="209"/>
    </row>
    <row r="272" spans="1:2" s="205" customFormat="1">
      <c r="A272" s="614" t="s">
        <v>1536</v>
      </c>
      <c r="B272" s="205" t="s">
        <v>1535</v>
      </c>
    </row>
    <row r="273" spans="1:2" s="205" customFormat="1">
      <c r="A273" s="614"/>
      <c r="B273" s="205" t="s">
        <v>1534</v>
      </c>
    </row>
    <row r="274" spans="1:2" s="205" customFormat="1">
      <c r="A274" s="614"/>
      <c r="B274" s="205" t="s">
        <v>1533</v>
      </c>
    </row>
    <row r="275" spans="1:2" s="205" customFormat="1">
      <c r="A275" s="614"/>
      <c r="B275" s="205" t="s">
        <v>1532</v>
      </c>
    </row>
    <row r="276" spans="1:2" s="205" customFormat="1" ht="87">
      <c r="A276" s="614"/>
      <c r="B276" s="205" t="s">
        <v>1531</v>
      </c>
    </row>
    <row r="277" spans="1:2" s="205" customFormat="1">
      <c r="A277" s="209"/>
    </row>
    <row r="278" spans="1:2" s="205" customFormat="1">
      <c r="A278" s="209"/>
    </row>
    <row r="279" spans="1:2" s="205" customFormat="1">
      <c r="A279" s="209"/>
    </row>
    <row r="280" spans="1:2" s="205" customFormat="1" ht="29">
      <c r="A280" s="209" t="s">
        <v>1580</v>
      </c>
      <c r="B280" s="205" t="s">
        <v>1577</v>
      </c>
    </row>
    <row r="281" spans="1:2" s="205" customFormat="1">
      <c r="A281" s="209"/>
      <c r="B281" s="205" t="s">
        <v>1582</v>
      </c>
    </row>
    <row r="282" spans="1:2" s="205" customFormat="1">
      <c r="A282" s="209"/>
      <c r="B282" s="205" t="s">
        <v>1578</v>
      </c>
    </row>
    <row r="283" spans="1:2" s="205" customFormat="1">
      <c r="A283" s="209"/>
      <c r="B283" s="205" t="s">
        <v>1579</v>
      </c>
    </row>
    <row r="284" spans="1:2" s="205" customFormat="1" ht="58">
      <c r="A284" s="209"/>
      <c r="B284" s="205" t="s">
        <v>1581</v>
      </c>
    </row>
    <row r="285" spans="1:2" s="205" customFormat="1">
      <c r="A285" s="209"/>
    </row>
    <row r="286" spans="1:2" s="205" customFormat="1" ht="15" customHeight="1">
      <c r="A286" s="209"/>
    </row>
    <row r="287" spans="1:2" ht="30" customHeight="1">
      <c r="A287" s="614" t="s">
        <v>1184</v>
      </c>
      <c r="B287" s="279" t="s">
        <v>1728</v>
      </c>
    </row>
    <row r="288" spans="1:2">
      <c r="A288" s="614"/>
      <c r="B288" s="205" t="s">
        <v>1695</v>
      </c>
    </row>
    <row r="289" spans="1:2">
      <c r="A289" s="614"/>
      <c r="B289" s="205" t="s">
        <v>1727</v>
      </c>
    </row>
    <row r="290" spans="1:2">
      <c r="A290" s="614"/>
      <c r="B290" s="205" t="s">
        <v>1694</v>
      </c>
    </row>
    <row r="291" spans="1:2" ht="58">
      <c r="A291" s="614"/>
      <c r="B291" s="205" t="s">
        <v>1515</v>
      </c>
    </row>
    <row r="292" spans="1:2">
      <c r="A292" s="209"/>
    </row>
    <row r="293" spans="1:2">
      <c r="A293" s="209"/>
      <c r="B293" s="205" t="s">
        <v>1664</v>
      </c>
    </row>
    <row r="294" spans="1:2" ht="43.5">
      <c r="A294" s="209" t="s">
        <v>1430</v>
      </c>
      <c r="B294" s="205" t="s">
        <v>1429</v>
      </c>
    </row>
    <row r="295" spans="1:2">
      <c r="A295" s="209"/>
      <c r="B295" s="205" t="s">
        <v>1665</v>
      </c>
    </row>
    <row r="296" spans="1:2">
      <c r="A296" s="209"/>
      <c r="B296" s="205" t="s">
        <v>1427</v>
      </c>
    </row>
    <row r="297" spans="1:2" ht="63.75" customHeight="1">
      <c r="A297" s="209"/>
      <c r="B297" s="205" t="s">
        <v>1428</v>
      </c>
    </row>
    <row r="298" spans="1:2">
      <c r="A298" s="209"/>
    </row>
    <row r="299" spans="1:2">
      <c r="A299" s="209"/>
    </row>
    <row r="300" spans="1:2" ht="43.5">
      <c r="A300" s="614" t="s">
        <v>1188</v>
      </c>
      <c r="B300" s="205" t="s">
        <v>1770</v>
      </c>
    </row>
    <row r="301" spans="1:2">
      <c r="A301" s="614"/>
      <c r="B301" s="205" t="s">
        <v>1187</v>
      </c>
    </row>
    <row r="302" spans="1:2" ht="29">
      <c r="A302" s="614"/>
      <c r="B302" s="205" t="s">
        <v>1771</v>
      </c>
    </row>
    <row r="303" spans="1:2">
      <c r="A303" s="614"/>
      <c r="B303" s="205" t="s">
        <v>1186</v>
      </c>
    </row>
    <row r="304" spans="1:2" ht="29">
      <c r="A304" s="614"/>
      <c r="B304" s="205" t="s">
        <v>1185</v>
      </c>
    </row>
    <row r="306" spans="1:2">
      <c r="A306" s="614" t="s">
        <v>1190</v>
      </c>
      <c r="B306" s="205" t="s">
        <v>1192</v>
      </c>
    </row>
    <row r="307" spans="1:2">
      <c r="A307" s="614"/>
      <c r="B307" s="205" t="s">
        <v>1193</v>
      </c>
    </row>
    <row r="308" spans="1:2">
      <c r="A308" s="614"/>
      <c r="B308" s="205" t="s">
        <v>1191</v>
      </c>
    </row>
    <row r="309" spans="1:2">
      <c r="A309" s="614"/>
      <c r="B309" s="205" t="s">
        <v>1464</v>
      </c>
    </row>
    <row r="310" spans="1:2">
      <c r="A310" s="209"/>
    </row>
    <row r="312" spans="1:2">
      <c r="A312" s="614" t="s">
        <v>1183</v>
      </c>
      <c r="B312" s="205" t="s">
        <v>1647</v>
      </c>
    </row>
    <row r="313" spans="1:2">
      <c r="A313" s="615"/>
      <c r="B313" s="205" t="s">
        <v>1182</v>
      </c>
    </row>
    <row r="314" spans="1:2">
      <c r="A314" s="615"/>
      <c r="B314" s="205" t="s">
        <v>1648</v>
      </c>
    </row>
    <row r="315" spans="1:2">
      <c r="A315" s="615"/>
      <c r="B315" s="205" t="s">
        <v>1181</v>
      </c>
    </row>
    <row r="316" spans="1:2" ht="29">
      <c r="A316" s="615"/>
      <c r="B316" s="205" t="s">
        <v>1180</v>
      </c>
    </row>
    <row r="317" spans="1:2">
      <c r="A317" s="206"/>
    </row>
    <row r="318" spans="1:2">
      <c r="A318" s="614" t="s">
        <v>1197</v>
      </c>
      <c r="B318" s="205" t="s">
        <v>1645</v>
      </c>
    </row>
    <row r="319" spans="1:2">
      <c r="A319" s="615"/>
      <c r="B319" s="205" t="s">
        <v>1196</v>
      </c>
    </row>
    <row r="320" spans="1:2">
      <c r="A320" s="615"/>
      <c r="B320" s="205" t="s">
        <v>1646</v>
      </c>
    </row>
    <row r="321" spans="1:2">
      <c r="A321" s="615"/>
      <c r="B321" s="205" t="s">
        <v>1195</v>
      </c>
    </row>
    <row r="322" spans="1:2" ht="29">
      <c r="A322" s="615"/>
      <c r="B322" s="205" t="s">
        <v>1194</v>
      </c>
    </row>
    <row r="323" spans="1:2">
      <c r="A323" s="206"/>
    </row>
    <row r="324" spans="1:2" ht="29">
      <c r="A324" s="614" t="s">
        <v>1203</v>
      </c>
      <c r="B324" s="205" t="s">
        <v>1204</v>
      </c>
    </row>
    <row r="325" spans="1:2">
      <c r="A325" s="615"/>
      <c r="B325" s="205" t="s">
        <v>1205</v>
      </c>
    </row>
    <row r="326" spans="1:2" ht="29">
      <c r="A326" s="615"/>
      <c r="B326" s="205" t="s">
        <v>1202</v>
      </c>
    </row>
    <row r="327" spans="1:2">
      <c r="A327" s="615"/>
      <c r="B327" s="205" t="s">
        <v>1201</v>
      </c>
    </row>
    <row r="328" spans="1:2" ht="43.5">
      <c r="A328" s="615"/>
      <c r="B328" s="205" t="s">
        <v>1200</v>
      </c>
    </row>
    <row r="329" spans="1:2">
      <c r="A329" s="206"/>
    </row>
    <row r="330" spans="1:2">
      <c r="A330" s="206"/>
    </row>
    <row r="331" spans="1:2">
      <c r="A331" s="614" t="s">
        <v>1690</v>
      </c>
      <c r="B331" s="205" t="s">
        <v>1497</v>
      </c>
    </row>
    <row r="332" spans="1:2">
      <c r="A332" s="615"/>
      <c r="B332" s="205" t="s">
        <v>1764</v>
      </c>
    </row>
    <row r="333" spans="1:2">
      <c r="A333" s="615"/>
      <c r="B333" s="205" t="s">
        <v>1496</v>
      </c>
    </row>
    <row r="334" spans="1:2">
      <c r="A334" s="615"/>
      <c r="B334" s="205" t="s">
        <v>1696</v>
      </c>
    </row>
    <row r="335" spans="1:2" ht="29">
      <c r="A335" s="615"/>
      <c r="B335" s="205" t="s">
        <v>1206</v>
      </c>
    </row>
    <row r="338" spans="1:2">
      <c r="A338" s="614" t="s">
        <v>1691</v>
      </c>
      <c r="B338" s="205" t="s">
        <v>1208</v>
      </c>
    </row>
    <row r="339" spans="1:2">
      <c r="A339" s="615"/>
      <c r="B339" s="205" t="s">
        <v>1270</v>
      </c>
    </row>
    <row r="340" spans="1:2">
      <c r="A340" s="615"/>
      <c r="B340" s="205" t="s">
        <v>1498</v>
      </c>
    </row>
    <row r="341" spans="1:2">
      <c r="A341" s="615"/>
      <c r="B341" s="205" t="s">
        <v>1209</v>
      </c>
    </row>
    <row r="342" spans="1:2" ht="29">
      <c r="A342" s="615"/>
      <c r="B342" s="205" t="s">
        <v>1207</v>
      </c>
    </row>
    <row r="344" spans="1:2">
      <c r="A344" s="614" t="s">
        <v>1166</v>
      </c>
      <c r="B344" s="205" t="s">
        <v>1319</v>
      </c>
    </row>
    <row r="345" spans="1:2">
      <c r="A345" s="615"/>
      <c r="B345" s="205" t="s">
        <v>1280</v>
      </c>
    </row>
    <row r="346" spans="1:2">
      <c r="A346" s="615"/>
      <c r="B346" s="205" t="s">
        <v>1162</v>
      </c>
    </row>
    <row r="347" spans="1:2">
      <c r="A347" s="615"/>
      <c r="B347" s="205" t="s">
        <v>1161</v>
      </c>
    </row>
    <row r="348" spans="1:2">
      <c r="A348" s="614" t="s">
        <v>1167</v>
      </c>
      <c r="B348" s="205" t="s">
        <v>1168</v>
      </c>
    </row>
    <row r="349" spans="1:2">
      <c r="A349" s="615"/>
      <c r="B349" s="205" t="s">
        <v>1165</v>
      </c>
    </row>
    <row r="350" spans="1:2">
      <c r="A350" s="615"/>
      <c r="B350" s="205" t="s">
        <v>1164</v>
      </c>
    </row>
    <row r="351" spans="1:2">
      <c r="A351" s="615"/>
      <c r="B351" s="205" t="s">
        <v>1163</v>
      </c>
    </row>
    <row r="353" spans="1:2">
      <c r="A353" s="614" t="s">
        <v>1173</v>
      </c>
      <c r="B353" s="205" t="s">
        <v>1171</v>
      </c>
    </row>
    <row r="354" spans="1:2">
      <c r="A354" s="615"/>
      <c r="B354" s="205" t="s">
        <v>1172</v>
      </c>
    </row>
    <row r="355" spans="1:2">
      <c r="A355" s="615"/>
      <c r="B355" s="205" t="s">
        <v>1174</v>
      </c>
    </row>
    <row r="356" spans="1:2">
      <c r="A356" s="615"/>
      <c r="B356" s="205" t="s">
        <v>1169</v>
      </c>
    </row>
    <row r="357" spans="1:2">
      <c r="A357" s="615"/>
      <c r="B357" s="205" t="s">
        <v>1170</v>
      </c>
    </row>
    <row r="358" spans="1:2">
      <c r="A358" s="206"/>
    </row>
    <row r="359" spans="1:2">
      <c r="A359" s="206"/>
    </row>
    <row r="360" spans="1:2">
      <c r="A360" s="614" t="s">
        <v>1215</v>
      </c>
      <c r="B360" s="205" t="s">
        <v>1058</v>
      </c>
    </row>
    <row r="361" spans="1:2">
      <c r="A361" s="615"/>
      <c r="B361" s="205" t="s">
        <v>1059</v>
      </c>
    </row>
    <row r="362" spans="1:2">
      <c r="A362" s="615"/>
      <c r="B362" s="205" t="s">
        <v>1214</v>
      </c>
    </row>
    <row r="363" spans="1:2">
      <c r="A363" s="615"/>
      <c r="B363" s="205" t="s">
        <v>1283</v>
      </c>
    </row>
    <row r="364" spans="1:2" ht="17.25" customHeight="1">
      <c r="A364" s="615"/>
      <c r="B364" s="205" t="s">
        <v>1213</v>
      </c>
    </row>
    <row r="365" spans="1:2">
      <c r="A365" s="206"/>
      <c r="B365" s="211"/>
    </row>
    <row r="366" spans="1:2">
      <c r="A366" s="614" t="s">
        <v>1216</v>
      </c>
      <c r="B366" s="205" t="s">
        <v>1499</v>
      </c>
    </row>
    <row r="367" spans="1:2">
      <c r="A367" s="615"/>
      <c r="B367" s="205" t="s">
        <v>1433</v>
      </c>
    </row>
    <row r="368" spans="1:2">
      <c r="A368" s="615"/>
      <c r="B368" s="205" t="s">
        <v>1500</v>
      </c>
    </row>
    <row r="369" spans="1:2">
      <c r="A369" s="615"/>
      <c r="B369" s="205" t="s">
        <v>1431</v>
      </c>
    </row>
    <row r="370" spans="1:2">
      <c r="A370" s="615"/>
      <c r="B370" s="205" t="s">
        <v>1432</v>
      </c>
    </row>
    <row r="371" spans="1:2">
      <c r="A371" s="206"/>
      <c r="B371" s="211"/>
    </row>
    <row r="372" spans="1:2">
      <c r="A372" s="206">
        <v>7.21</v>
      </c>
      <c r="B372" s="204" t="s">
        <v>1680</v>
      </c>
    </row>
    <row r="373" spans="1:2">
      <c r="A373" s="206"/>
      <c r="B373" s="204" t="s">
        <v>1681</v>
      </c>
    </row>
    <row r="374" spans="1:2">
      <c r="A374" s="614"/>
      <c r="B374" s="204" t="s">
        <v>1682</v>
      </c>
    </row>
    <row r="375" spans="1:2">
      <c r="A375" s="614"/>
      <c r="B375" s="204" t="s">
        <v>1683</v>
      </c>
    </row>
    <row r="376" spans="1:2">
      <c r="A376" s="206"/>
    </row>
    <row r="377" spans="1:2">
      <c r="A377" s="614" t="s">
        <v>1285</v>
      </c>
      <c r="B377" s="205" t="s">
        <v>1710</v>
      </c>
    </row>
    <row r="378" spans="1:2">
      <c r="A378" s="614"/>
      <c r="B378" s="205" t="s">
        <v>1709</v>
      </c>
    </row>
    <row r="379" spans="1:2">
      <c r="A379" s="209"/>
    </row>
    <row r="380" spans="1:2">
      <c r="A380" s="615" t="s">
        <v>1286</v>
      </c>
      <c r="B380" s="205" t="s">
        <v>1502</v>
      </c>
    </row>
    <row r="381" spans="1:2">
      <c r="A381" s="615"/>
      <c r="B381" s="205" t="s">
        <v>1501</v>
      </c>
    </row>
    <row r="382" spans="1:2">
      <c r="A382" s="206"/>
    </row>
    <row r="383" spans="1:2">
      <c r="A383" s="615" t="s">
        <v>1385</v>
      </c>
      <c r="B383" s="205" t="s">
        <v>1503</v>
      </c>
    </row>
    <row r="384" spans="1:2" ht="14.25" customHeight="1">
      <c r="A384" s="615"/>
      <c r="B384" s="205" t="s">
        <v>1506</v>
      </c>
    </row>
    <row r="385" spans="1:2">
      <c r="A385" s="615"/>
      <c r="B385" s="205" t="s">
        <v>1504</v>
      </c>
    </row>
    <row r="386" spans="1:2">
      <c r="A386" s="615"/>
      <c r="B386" s="205" t="s">
        <v>1505</v>
      </c>
    </row>
    <row r="388" spans="1:2">
      <c r="A388" s="231" t="s">
        <v>1488</v>
      </c>
      <c r="B388" s="205" t="s">
        <v>1489</v>
      </c>
    </row>
    <row r="389" spans="1:2">
      <c r="A389" s="231"/>
      <c r="B389" s="205" t="s">
        <v>1434</v>
      </c>
    </row>
    <row r="390" spans="1:2">
      <c r="A390" s="206"/>
    </row>
    <row r="391" spans="1:2" ht="39" customHeight="1">
      <c r="A391" s="615" t="s">
        <v>1290</v>
      </c>
      <c r="B391" s="205" t="s">
        <v>1289</v>
      </c>
    </row>
    <row r="392" spans="1:2">
      <c r="A392" s="615"/>
      <c r="B392" s="205" t="s">
        <v>1388</v>
      </c>
    </row>
    <row r="393" spans="1:2" ht="31.5" customHeight="1">
      <c r="A393" s="615"/>
      <c r="B393" s="205" t="s">
        <v>1288</v>
      </c>
    </row>
    <row r="394" spans="1:2">
      <c r="A394" s="615"/>
      <c r="B394" s="205" t="s">
        <v>1386</v>
      </c>
    </row>
    <row r="395" spans="1:2">
      <c r="A395" s="206"/>
      <c r="B395" s="205" t="s">
        <v>1387</v>
      </c>
    </row>
    <row r="397" spans="1:2">
      <c r="A397" s="614" t="s">
        <v>1396</v>
      </c>
      <c r="B397" s="205" t="str">
        <f>"It was noted that "&amp;uniform!I135&amp;" out of "&amp;uniform!J135&amp;" sample workers' personnel files did not contain their ID copies."</f>
        <v>It was noted that 0 out of 6 sample workers' personnel files did not contain their ID copies.</v>
      </c>
    </row>
    <row r="398" spans="1:2">
      <c r="A398" s="614"/>
      <c r="B398" s="205" t="s">
        <v>1146</v>
      </c>
    </row>
    <row r="399" spans="1:2">
      <c r="A399" s="614"/>
      <c r="B399" s="205" t="s">
        <v>1252</v>
      </c>
    </row>
    <row r="400" spans="1:2">
      <c r="A400" s="614"/>
      <c r="B400" s="205" t="s">
        <v>1291</v>
      </c>
    </row>
    <row r="401" spans="1:2" ht="29">
      <c r="A401" s="614"/>
      <c r="B401" s="205" t="s">
        <v>1076</v>
      </c>
    </row>
    <row r="402" spans="1:2">
      <c r="A402" s="209"/>
    </row>
    <row r="403" spans="1:2">
      <c r="A403" s="614" t="s">
        <v>1382</v>
      </c>
      <c r="B403" s="205" t="s">
        <v>1381</v>
      </c>
    </row>
    <row r="404" spans="1:2">
      <c r="A404" s="614"/>
      <c r="B404" s="205" t="s">
        <v>1394</v>
      </c>
    </row>
    <row r="405" spans="1:2">
      <c r="A405" s="614"/>
      <c r="B405" s="205" t="s">
        <v>1383</v>
      </c>
    </row>
    <row r="406" spans="1:2">
      <c r="A406" s="614"/>
      <c r="B406" s="205" t="s">
        <v>1389</v>
      </c>
    </row>
    <row r="407" spans="1:2">
      <c r="A407" s="614"/>
      <c r="B407" s="205" t="s">
        <v>1390</v>
      </c>
    </row>
    <row r="408" spans="1:2">
      <c r="A408" s="209"/>
    </row>
    <row r="409" spans="1:2">
      <c r="A409" s="209"/>
    </row>
    <row r="410" spans="1:2">
      <c r="A410" s="614" t="s">
        <v>1372</v>
      </c>
      <c r="B410" s="205" t="s">
        <v>1459</v>
      </c>
    </row>
    <row r="411" spans="1:2">
      <c r="A411" s="614"/>
      <c r="B411" s="205" t="s">
        <v>1393</v>
      </c>
    </row>
    <row r="412" spans="1:2">
      <c r="A412" s="614"/>
      <c r="B412" s="205" t="s">
        <v>1460</v>
      </c>
    </row>
    <row r="413" spans="1:2">
      <c r="A413" s="614"/>
      <c r="B413" s="205" t="s">
        <v>1370</v>
      </c>
    </row>
    <row r="414" spans="1:2" ht="29">
      <c r="A414" s="614"/>
      <c r="B414" s="205" t="s">
        <v>1371</v>
      </c>
    </row>
    <row r="415" spans="1:2">
      <c r="A415" s="209"/>
    </row>
    <row r="416" spans="1:2">
      <c r="A416" s="614" t="s">
        <v>1378</v>
      </c>
      <c r="B416" s="205" t="s">
        <v>1377</v>
      </c>
    </row>
    <row r="417" spans="1:2">
      <c r="A417" s="614"/>
      <c r="B417" s="205" t="s">
        <v>1395</v>
      </c>
    </row>
    <row r="418" spans="1:2">
      <c r="A418" s="614"/>
      <c r="B418" s="205" t="s">
        <v>1374</v>
      </c>
    </row>
    <row r="419" spans="1:2">
      <c r="A419" s="614"/>
      <c r="B419" s="205" t="s">
        <v>1375</v>
      </c>
    </row>
    <row r="420" spans="1:2">
      <c r="A420" s="614"/>
      <c r="B420" s="205" t="s">
        <v>1376</v>
      </c>
    </row>
    <row r="423" spans="1:2">
      <c r="A423" s="614" t="s">
        <v>1373</v>
      </c>
      <c r="B423" s="205" t="s">
        <v>1462</v>
      </c>
    </row>
    <row r="424" spans="1:2">
      <c r="A424" s="614"/>
      <c r="B424" s="205" t="s">
        <v>1463</v>
      </c>
    </row>
    <row r="425" spans="1:2">
      <c r="A425" s="615"/>
      <c r="B425" s="205" t="s">
        <v>1461</v>
      </c>
    </row>
    <row r="426" spans="1:2">
      <c r="A426" s="615"/>
      <c r="B426" s="205" t="s">
        <v>1391</v>
      </c>
    </row>
    <row r="427" spans="1:2" ht="29">
      <c r="A427" s="615"/>
      <c r="B427" s="205" t="s">
        <v>1392</v>
      </c>
    </row>
    <row r="430" spans="1:2">
      <c r="A430" s="614" t="s">
        <v>1282</v>
      </c>
      <c r="B430" s="205" t="s">
        <v>1281</v>
      </c>
    </row>
    <row r="431" spans="1:2">
      <c r="A431" s="614"/>
      <c r="B431" s="205" t="s">
        <v>1100</v>
      </c>
    </row>
    <row r="432" spans="1:2">
      <c r="A432" s="614"/>
      <c r="B432" s="205" t="s">
        <v>1103</v>
      </c>
    </row>
    <row r="433" spans="1:2">
      <c r="A433" s="614"/>
      <c r="B433" s="205" t="s">
        <v>1101</v>
      </c>
    </row>
    <row r="434" spans="1:2" ht="43.5" customHeight="1">
      <c r="A434" s="614"/>
      <c r="B434" s="205" t="s">
        <v>1102</v>
      </c>
    </row>
    <row r="436" spans="1:2" ht="29">
      <c r="A436" s="614" t="s">
        <v>1093</v>
      </c>
      <c r="B436" s="205" t="s">
        <v>1077</v>
      </c>
    </row>
    <row r="437" spans="1:2">
      <c r="A437" s="615"/>
      <c r="B437" s="205" t="s">
        <v>1104</v>
      </c>
    </row>
    <row r="438" spans="1:2">
      <c r="A438" s="615"/>
      <c r="B438" s="205" t="s">
        <v>1147</v>
      </c>
    </row>
    <row r="439" spans="1:2">
      <c r="A439" s="615"/>
      <c r="B439" s="205" t="s">
        <v>1079</v>
      </c>
    </row>
    <row r="440" spans="1:2" ht="29">
      <c r="A440" s="615"/>
      <c r="B440" s="205" t="s">
        <v>1075</v>
      </c>
    </row>
    <row r="442" spans="1:2">
      <c r="A442" s="614" t="s">
        <v>1094</v>
      </c>
      <c r="B442" s="205" t="s">
        <v>1081</v>
      </c>
    </row>
    <row r="443" spans="1:2">
      <c r="A443" s="615"/>
      <c r="B443" s="205" t="s">
        <v>1154</v>
      </c>
    </row>
    <row r="444" spans="1:2">
      <c r="A444" s="615"/>
      <c r="B444" s="205" t="s">
        <v>1082</v>
      </c>
    </row>
    <row r="445" spans="1:2">
      <c r="A445" s="615"/>
      <c r="B445" s="205" t="s">
        <v>1078</v>
      </c>
    </row>
    <row r="446" spans="1:2" ht="29">
      <c r="A446" s="615"/>
      <c r="B446" s="205" t="s">
        <v>1080</v>
      </c>
    </row>
    <row r="447" spans="1:2">
      <c r="A447" s="206"/>
    </row>
    <row r="448" spans="1:2">
      <c r="A448" s="614" t="s">
        <v>1425</v>
      </c>
      <c r="B448" s="205" t="s">
        <v>1152</v>
      </c>
    </row>
    <row r="449" spans="1:2">
      <c r="A449" s="615"/>
      <c r="B449" s="205" t="s">
        <v>1149</v>
      </c>
    </row>
    <row r="450" spans="1:2">
      <c r="A450" s="615"/>
      <c r="B450" s="205" t="s">
        <v>1151</v>
      </c>
    </row>
    <row r="451" spans="1:2">
      <c r="A451" s="615"/>
      <c r="B451" s="205" t="s">
        <v>1150</v>
      </c>
    </row>
    <row r="452" spans="1:2" ht="61.5" customHeight="1">
      <c r="A452" s="615"/>
      <c r="B452" s="205" t="s">
        <v>1148</v>
      </c>
    </row>
    <row r="454" spans="1:2" ht="29">
      <c r="A454" s="614" t="s">
        <v>1092</v>
      </c>
      <c r="B454" s="212" t="s">
        <v>1492</v>
      </c>
    </row>
    <row r="455" spans="1:2">
      <c r="A455" s="615"/>
      <c r="B455" s="205" t="s">
        <v>1153</v>
      </c>
    </row>
    <row r="456" spans="1:2">
      <c r="A456" s="615"/>
      <c r="B456" s="205" t="s">
        <v>1491</v>
      </c>
    </row>
    <row r="457" spans="1:2">
      <c r="A457" s="615"/>
      <c r="B457" s="205" t="s">
        <v>1091</v>
      </c>
    </row>
    <row r="458" spans="1:2" ht="35.25" customHeight="1">
      <c r="A458" s="615"/>
      <c r="B458" s="213" t="s">
        <v>1083</v>
      </c>
    </row>
    <row r="461" spans="1:2" ht="15" customHeight="1">
      <c r="A461" s="614" t="s">
        <v>1096</v>
      </c>
      <c r="B461" s="205" t="s">
        <v>1708</v>
      </c>
    </row>
    <row r="462" spans="1:2">
      <c r="A462" s="614"/>
      <c r="B462" s="205" t="s">
        <v>1086</v>
      </c>
    </row>
    <row r="463" spans="1:2" ht="15" customHeight="1">
      <c r="A463" s="614"/>
      <c r="B463" s="205" t="s">
        <v>1707</v>
      </c>
    </row>
    <row r="464" spans="1:2">
      <c r="A464" s="614"/>
      <c r="B464" s="205" t="s">
        <v>1085</v>
      </c>
    </row>
    <row r="465" spans="1:2" ht="43.5">
      <c r="A465" s="614"/>
      <c r="B465" s="205" t="s">
        <v>1084</v>
      </c>
    </row>
    <row r="467" spans="1:2">
      <c r="A467" s="616" t="s">
        <v>1099</v>
      </c>
      <c r="B467" s="205" t="str">
        <f>"The factory had "&amp;'DE Employment Structure'!F56&amp;" retired employees, but the factory signed labor contracts with them instead of retirement reappoint agreements."</f>
        <v>The factory had 0 retired employees, but the factory signed labor contracts with them instead of retirement reappoint agreements.</v>
      </c>
    </row>
    <row r="468" spans="1:2">
      <c r="A468" s="617"/>
      <c r="B468" s="205" t="s">
        <v>1097</v>
      </c>
    </row>
    <row r="469" spans="1:2">
      <c r="A469" s="617"/>
      <c r="B469" s="205" t="str">
        <f>"工厂有"&amp;'DE Employment Structure'!F56&amp;"名退休返聘人员，但企业与他们签署的是劳动合同而不是退休返聘协议。 "</f>
        <v xml:space="preserve">工厂有0名退休返聘人员，但企业与他们签署的是劳动合同而不是退休返聘协议。 </v>
      </c>
    </row>
    <row r="470" spans="1:2">
      <c r="A470" s="617"/>
      <c r="B470" s="205" t="s">
        <v>1098</v>
      </c>
    </row>
    <row r="471" spans="1:2">
      <c r="A471" s="230"/>
    </row>
    <row r="472" spans="1:2">
      <c r="A472" s="617">
        <v>10.199999999999999</v>
      </c>
      <c r="B472" s="205" t="s">
        <v>1569</v>
      </c>
    </row>
    <row r="473" spans="1:2">
      <c r="A473" s="617"/>
      <c r="B473" s="205" t="s">
        <v>1597</v>
      </c>
    </row>
    <row r="474" spans="1:2">
      <c r="A474" s="617"/>
      <c r="B474" s="205" t="s">
        <v>1547</v>
      </c>
    </row>
    <row r="475" spans="1:2">
      <c r="A475" s="617"/>
      <c r="B475" s="205" t="s">
        <v>1596</v>
      </c>
    </row>
    <row r="476" spans="1:2">
      <c r="A476" s="230"/>
    </row>
    <row r="477" spans="1:2">
      <c r="A477" s="230"/>
    </row>
    <row r="478" spans="1:2" ht="29">
      <c r="A478" s="614" t="s">
        <v>1557</v>
      </c>
      <c r="B478" s="205" t="str">
        <f>"There are occupational disease hazardous factors in the "&amp;uniform!E76&amp;" area, However, the employment contract signed by the factory and the workers in these positions missed occupational disease reminder clauses."</f>
        <v>There are occupational disease hazardous factors in the injection molding and edge painting area, However, the employment contract signed by the factory and the workers in these positions missed occupational disease reminder clauses.</v>
      </c>
    </row>
    <row r="479" spans="1:2">
      <c r="A479" s="614"/>
      <c r="B479" s="205" t="s">
        <v>1149</v>
      </c>
    </row>
    <row r="480" spans="1:2">
      <c r="A480" s="614"/>
      <c r="B480" s="205" t="str">
        <f>uniform!E75&amp;"车间产生"&amp;uniform!H75&amp;"职业病危害因素，工厂与这些岗位的工人签订的劳动合同中缺少职业病提醒的条款。"</f>
        <v>注塑和油边车间产生噪音，粉尘和化学品职业病危害因素，工厂与这些岗位的工人签订的劳动合同中缺少职业病提醒的条款。</v>
      </c>
    </row>
    <row r="481" spans="1:2">
      <c r="A481" s="614"/>
      <c r="B481" s="205" t="s">
        <v>1150</v>
      </c>
    </row>
    <row r="482" spans="1:2">
      <c r="A482" s="230"/>
    </row>
    <row r="483" spans="1:2">
      <c r="A483" s="617" t="s">
        <v>1402</v>
      </c>
      <c r="B483" s="205" t="s">
        <v>1401</v>
      </c>
    </row>
    <row r="484" spans="1:2">
      <c r="A484" s="617"/>
      <c r="B484" s="205" t="s">
        <v>1400</v>
      </c>
    </row>
    <row r="485" spans="1:2">
      <c r="A485" s="617"/>
      <c r="B485" s="205" t="s">
        <v>1399</v>
      </c>
    </row>
    <row r="486" spans="1:2">
      <c r="A486" s="617"/>
      <c r="B486" s="205" t="s">
        <v>1397</v>
      </c>
    </row>
    <row r="487" spans="1:2">
      <c r="A487" s="617"/>
      <c r="B487" s="205" t="s">
        <v>1398</v>
      </c>
    </row>
    <row r="488" spans="1:2">
      <c r="A488" s="230"/>
    </row>
    <row r="489" spans="1:2">
      <c r="A489" s="230"/>
    </row>
    <row r="490" spans="1:2">
      <c r="A490" s="230"/>
    </row>
    <row r="491" spans="1:2">
      <c r="A491" s="230"/>
    </row>
    <row r="492" spans="1:2" ht="27" customHeight="1">
      <c r="A492" s="614" t="s">
        <v>1407</v>
      </c>
      <c r="B492" s="205" t="s">
        <v>1406</v>
      </c>
    </row>
    <row r="493" spans="1:2">
      <c r="A493" s="615"/>
      <c r="B493" s="205" t="s">
        <v>1408</v>
      </c>
    </row>
    <row r="494" spans="1:2" ht="29">
      <c r="A494" s="615"/>
      <c r="B494" s="205" t="s">
        <v>1405</v>
      </c>
    </row>
    <row r="495" spans="1:2">
      <c r="A495" s="615"/>
      <c r="B495" s="205" t="s">
        <v>1403</v>
      </c>
    </row>
    <row r="496" spans="1:2">
      <c r="A496" s="615"/>
      <c r="B496" s="205" t="s">
        <v>1404</v>
      </c>
    </row>
    <row r="498" spans="1:2" ht="29">
      <c r="A498" s="615" t="s">
        <v>1414</v>
      </c>
      <c r="B498" s="205" t="s">
        <v>1413</v>
      </c>
    </row>
    <row r="499" spans="1:2" ht="29">
      <c r="A499" s="615"/>
      <c r="B499" s="205" t="s">
        <v>1412</v>
      </c>
    </row>
    <row r="500" spans="1:2" ht="29">
      <c r="A500" s="615"/>
      <c r="B500" s="205" t="s">
        <v>1411</v>
      </c>
    </row>
    <row r="501" spans="1:2">
      <c r="A501" s="615"/>
      <c r="B501" s="205" t="s">
        <v>1409</v>
      </c>
    </row>
    <row r="502" spans="1:2" ht="30.75" customHeight="1">
      <c r="A502" s="615"/>
      <c r="B502" s="207" t="s">
        <v>1410</v>
      </c>
    </row>
    <row r="503" spans="1:2" ht="30.75" customHeight="1">
      <c r="A503" s="206"/>
      <c r="B503" s="207"/>
    </row>
    <row r="504" spans="1:2" ht="29">
      <c r="A504" s="615" t="s">
        <v>1420</v>
      </c>
      <c r="B504" s="205" t="s">
        <v>1419</v>
      </c>
    </row>
    <row r="505" spans="1:2">
      <c r="A505" s="615"/>
      <c r="B505" s="205" t="s">
        <v>1418</v>
      </c>
    </row>
    <row r="506" spans="1:2">
      <c r="A506" s="615"/>
      <c r="B506" s="205" t="s">
        <v>1417</v>
      </c>
    </row>
    <row r="507" spans="1:2">
      <c r="A507" s="615"/>
      <c r="B507" s="205" t="s">
        <v>1415</v>
      </c>
    </row>
    <row r="508" spans="1:2">
      <c r="A508" s="615"/>
      <c r="B508" s="205" t="s">
        <v>1416</v>
      </c>
    </row>
    <row r="511" spans="1:2" ht="21" customHeight="1">
      <c r="A511" s="614">
        <v>11.4</v>
      </c>
      <c r="B511" s="205" t="s">
        <v>1467</v>
      </c>
    </row>
    <row r="512" spans="1:2">
      <c r="A512" s="614"/>
      <c r="B512" s="205" t="s">
        <v>1468</v>
      </c>
    </row>
    <row r="514" spans="1:2" ht="29">
      <c r="A514" s="614" t="s">
        <v>1138</v>
      </c>
      <c r="B514" s="205" t="s">
        <v>1576</v>
      </c>
    </row>
    <row r="515" spans="1:2">
      <c r="A515" s="615"/>
      <c r="B515" s="205" t="s">
        <v>1155</v>
      </c>
    </row>
    <row r="516" spans="1:2">
      <c r="A516" s="615"/>
      <c r="B516" s="205" t="s">
        <v>1490</v>
      </c>
    </row>
    <row r="517" spans="1:2">
      <c r="A517" s="615"/>
      <c r="B517" s="205" t="s">
        <v>1108</v>
      </c>
    </row>
    <row r="518" spans="1:2" ht="57.75" customHeight="1">
      <c r="A518" s="615"/>
      <c r="B518" s="205" t="s">
        <v>1109</v>
      </c>
    </row>
    <row r="519" spans="1:2">
      <c r="A519" s="206"/>
    </row>
    <row r="520" spans="1:2">
      <c r="A520" s="614" t="s">
        <v>1139</v>
      </c>
      <c r="B520" s="205" t="s">
        <v>1113</v>
      </c>
    </row>
    <row r="521" spans="1:2">
      <c r="A521" s="615"/>
      <c r="B521" s="205" t="s">
        <v>1156</v>
      </c>
    </row>
    <row r="522" spans="1:2">
      <c r="A522" s="615"/>
      <c r="B522" s="205" t="s">
        <v>1116</v>
      </c>
    </row>
    <row r="523" spans="1:2">
      <c r="A523" s="615"/>
      <c r="B523" s="205" t="s">
        <v>1114</v>
      </c>
    </row>
    <row r="524" spans="1:2" ht="29">
      <c r="A524" s="615"/>
      <c r="B524" s="205" t="s">
        <v>1115</v>
      </c>
    </row>
    <row r="525" spans="1:2">
      <c r="A525" s="206"/>
    </row>
    <row r="526" spans="1:2">
      <c r="A526" s="614" t="s">
        <v>1140</v>
      </c>
      <c r="B526" s="205" t="s">
        <v>1737</v>
      </c>
    </row>
    <row r="527" spans="1:2">
      <c r="A527" s="615"/>
      <c r="B527" s="205" t="s">
        <v>1449</v>
      </c>
    </row>
    <row r="528" spans="1:2">
      <c r="A528" s="615"/>
      <c r="B528" s="205" t="s">
        <v>1736</v>
      </c>
    </row>
    <row r="529" spans="1:2">
      <c r="A529" s="615"/>
      <c r="B529" s="205" t="s">
        <v>1447</v>
      </c>
    </row>
    <row r="530" spans="1:2" ht="29">
      <c r="A530" s="615"/>
      <c r="B530" s="205" t="s">
        <v>1448</v>
      </c>
    </row>
    <row r="531" spans="1:2">
      <c r="A531" s="206"/>
    </row>
    <row r="532" spans="1:2" ht="29">
      <c r="A532" s="614" t="s">
        <v>1141</v>
      </c>
      <c r="B532" s="205" t="s">
        <v>1110</v>
      </c>
    </row>
    <row r="533" spans="1:2">
      <c r="A533" s="615"/>
      <c r="B533" s="205" t="s">
        <v>1157</v>
      </c>
    </row>
    <row r="534" spans="1:2">
      <c r="A534" s="615"/>
      <c r="B534" s="205" t="s">
        <v>1292</v>
      </c>
    </row>
    <row r="535" spans="1:2">
      <c r="A535" s="615"/>
      <c r="B535" s="205" t="s">
        <v>1112</v>
      </c>
    </row>
    <row r="536" spans="1:2" ht="43.5">
      <c r="A536" s="615"/>
      <c r="B536" s="205" t="s">
        <v>1111</v>
      </c>
    </row>
    <row r="537" spans="1:2">
      <c r="A537" s="206"/>
    </row>
    <row r="538" spans="1:2" ht="29">
      <c r="A538" s="206">
        <v>12.4</v>
      </c>
      <c r="B538" s="205" t="s">
        <v>1734</v>
      </c>
    </row>
    <row r="539" spans="1:2">
      <c r="A539" s="206"/>
      <c r="B539" s="205" t="s">
        <v>1735</v>
      </c>
    </row>
    <row r="540" spans="1:2">
      <c r="A540" s="206"/>
      <c r="B540" s="205" t="s">
        <v>1732</v>
      </c>
    </row>
    <row r="541" spans="1:2">
      <c r="A541" s="206"/>
      <c r="B541" s="205" t="s">
        <v>1733</v>
      </c>
    </row>
    <row r="543" spans="1:2">
      <c r="A543" s="614" t="s">
        <v>1142</v>
      </c>
      <c r="B543" s="205" t="s">
        <v>1130</v>
      </c>
    </row>
    <row r="544" spans="1:2">
      <c r="A544" s="615"/>
      <c r="B544" s="205" t="s">
        <v>1158</v>
      </c>
    </row>
    <row r="545" spans="1:2">
      <c r="A545" s="615"/>
      <c r="B545" s="205" t="s">
        <v>1131</v>
      </c>
    </row>
    <row r="546" spans="1:2">
      <c r="A546" s="615"/>
      <c r="B546" s="205" t="s">
        <v>1132</v>
      </c>
    </row>
    <row r="548" spans="1:2" ht="43.5">
      <c r="A548" s="614" t="s">
        <v>1143</v>
      </c>
      <c r="B548" s="205" t="s">
        <v>1687</v>
      </c>
    </row>
    <row r="549" spans="1:2">
      <c r="A549" s="614"/>
      <c r="B549" s="205" t="s">
        <v>1731</v>
      </c>
    </row>
    <row r="550" spans="1:2">
      <c r="A550" s="614"/>
      <c r="B550" s="205" t="s">
        <v>1688</v>
      </c>
    </row>
    <row r="551" spans="1:2">
      <c r="A551" s="614"/>
      <c r="B551" s="205" t="s">
        <v>1729</v>
      </c>
    </row>
    <row r="552" spans="1:2">
      <c r="A552" s="614"/>
      <c r="B552" s="205" t="s">
        <v>1730</v>
      </c>
    </row>
    <row r="553" spans="1:2">
      <c r="A553" s="614" t="s">
        <v>1144</v>
      </c>
      <c r="B553" s="205" t="s">
        <v>1136</v>
      </c>
    </row>
    <row r="554" spans="1:2">
      <c r="A554" s="614"/>
      <c r="B554" s="205" t="s">
        <v>1135</v>
      </c>
    </row>
    <row r="555" spans="1:2">
      <c r="A555" s="614"/>
      <c r="B555" s="205" t="s">
        <v>1137</v>
      </c>
    </row>
    <row r="556" spans="1:2">
      <c r="A556" s="614"/>
      <c r="B556" s="205" t="s">
        <v>1134</v>
      </c>
    </row>
    <row r="557" spans="1:2" ht="60" customHeight="1">
      <c r="A557" s="614"/>
      <c r="B557" s="205" t="s">
        <v>1133</v>
      </c>
    </row>
    <row r="559" spans="1:2" ht="20.25" customHeight="1">
      <c r="A559" s="614" t="s">
        <v>1511</v>
      </c>
      <c r="B559" s="234" t="s">
        <v>1514</v>
      </c>
    </row>
    <row r="560" spans="1:2">
      <c r="A560" s="615"/>
      <c r="B560" s="205" t="s">
        <v>1512</v>
      </c>
    </row>
    <row r="561" spans="1:2">
      <c r="A561" s="615"/>
      <c r="B561" s="205" t="s">
        <v>1513</v>
      </c>
    </row>
    <row r="562" spans="1:2">
      <c r="A562" s="615"/>
      <c r="B562" s="205" t="s">
        <v>1509</v>
      </c>
    </row>
    <row r="563" spans="1:2" ht="29">
      <c r="A563" s="615"/>
      <c r="B563" s="205" t="s">
        <v>1510</v>
      </c>
    </row>
    <row r="565" spans="1:2" ht="58">
      <c r="A565" s="205" t="s">
        <v>1567</v>
      </c>
      <c r="B565" s="205" t="s">
        <v>1565</v>
      </c>
    </row>
    <row r="566" spans="1:2" ht="29">
      <c r="B566" s="205" t="s">
        <v>1566</v>
      </c>
    </row>
    <row r="568" spans="1:2">
      <c r="B568" s="205">
        <v>13.2</v>
      </c>
    </row>
    <row r="569" spans="1:2" ht="29">
      <c r="A569" s="204">
        <v>13.2</v>
      </c>
      <c r="B569" s="205" t="s">
        <v>1749</v>
      </c>
    </row>
    <row r="570" spans="1:2">
      <c r="B570" s="205" t="s">
        <v>1750</v>
      </c>
    </row>
    <row r="573" spans="1:2" ht="43.5">
      <c r="A573" s="233">
        <v>13.4</v>
      </c>
      <c r="B573" s="205" t="s">
        <v>1475</v>
      </c>
    </row>
    <row r="574" spans="1:2" ht="29">
      <c r="B574" s="205" t="s">
        <v>1476</v>
      </c>
    </row>
    <row r="575" spans="1:2" ht="29">
      <c r="A575" s="204">
        <v>13.4</v>
      </c>
      <c r="B575" s="205" t="s">
        <v>1719</v>
      </c>
    </row>
    <row r="576" spans="1:2">
      <c r="B576" s="205" t="s">
        <v>1718</v>
      </c>
    </row>
    <row r="701" spans="2:2">
      <c r="B701" s="205" t="s">
        <v>1071</v>
      </c>
    </row>
    <row r="702" spans="2:2">
      <c r="B702" s="205" t="s">
        <v>1072</v>
      </c>
    </row>
  </sheetData>
  <mergeCells count="81">
    <mergeCell ref="A14:A15"/>
    <mergeCell ref="A18:A19"/>
    <mergeCell ref="A112:A116"/>
    <mergeCell ref="A137:A140"/>
    <mergeCell ref="A148:A152"/>
    <mergeCell ref="A78:A82"/>
    <mergeCell ref="A84:A88"/>
    <mergeCell ref="A97:A100"/>
    <mergeCell ref="A103:A104"/>
    <mergeCell ref="A32:A36"/>
    <mergeCell ref="A50:A54"/>
    <mergeCell ref="A56:A60"/>
    <mergeCell ref="A44:A48"/>
    <mergeCell ref="A38:A42"/>
    <mergeCell ref="A120:A124"/>
    <mergeCell ref="A126:A130"/>
    <mergeCell ref="A344:A347"/>
    <mergeCell ref="A360:A364"/>
    <mergeCell ref="A348:A351"/>
    <mergeCell ref="A353:A357"/>
    <mergeCell ref="A154:A158"/>
    <mergeCell ref="A160:A164"/>
    <mergeCell ref="A167:A171"/>
    <mergeCell ref="A254:A258"/>
    <mergeCell ref="A173:A177"/>
    <mergeCell ref="A237:A241"/>
    <mergeCell ref="A243:A247"/>
    <mergeCell ref="A193:A196"/>
    <mergeCell ref="A198:A201"/>
    <mergeCell ref="A214:A218"/>
    <mergeCell ref="A249:A252"/>
    <mergeCell ref="A338:A342"/>
    <mergeCell ref="A410:A414"/>
    <mergeCell ref="A366:A370"/>
    <mergeCell ref="A383:A386"/>
    <mergeCell ref="A403:A407"/>
    <mergeCell ref="A374:A375"/>
    <mergeCell ref="A391:A394"/>
    <mergeCell ref="A548:A552"/>
    <mergeCell ref="A553:A557"/>
    <mergeCell ref="A478:A481"/>
    <mergeCell ref="A454:A458"/>
    <mergeCell ref="A532:A536"/>
    <mergeCell ref="A520:A524"/>
    <mergeCell ref="A526:A530"/>
    <mergeCell ref="A461:A465"/>
    <mergeCell ref="A467:A470"/>
    <mergeCell ref="A514:A518"/>
    <mergeCell ref="A483:A487"/>
    <mergeCell ref="A492:A496"/>
    <mergeCell ref="A498:A502"/>
    <mergeCell ref="A543:A546"/>
    <mergeCell ref="A504:A508"/>
    <mergeCell ref="A559:A563"/>
    <mergeCell ref="A511:A512"/>
    <mergeCell ref="A306:A309"/>
    <mergeCell ref="A472:A475"/>
    <mergeCell ref="A423:A427"/>
    <mergeCell ref="A416:A420"/>
    <mergeCell ref="A448:A452"/>
    <mergeCell ref="A436:A440"/>
    <mergeCell ref="A442:A446"/>
    <mergeCell ref="A318:A322"/>
    <mergeCell ref="A324:A328"/>
    <mergeCell ref="A331:A335"/>
    <mergeCell ref="A430:A434"/>
    <mergeCell ref="A397:A401"/>
    <mergeCell ref="A377:A378"/>
    <mergeCell ref="A380:A381"/>
    <mergeCell ref="A312:A316"/>
    <mergeCell ref="A287:A291"/>
    <mergeCell ref="A300:A304"/>
    <mergeCell ref="A260:A263"/>
    <mergeCell ref="A143:A146"/>
    <mergeCell ref="A203:A207"/>
    <mergeCell ref="A265:A269"/>
    <mergeCell ref="A272:A276"/>
    <mergeCell ref="A179:A182"/>
    <mergeCell ref="A220:A223"/>
    <mergeCell ref="A230:A234"/>
    <mergeCell ref="A225:A228"/>
  </mergeCells>
  <phoneticPr fontId="8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EF9A9-F66B-4F3D-93E7-6CA274244486}">
  <sheetPr codeName="Sheet3">
    <pageSetUpPr fitToPage="1"/>
  </sheetPr>
  <dimension ref="A1:G43"/>
  <sheetViews>
    <sheetView zoomScale="70" zoomScaleNormal="70" workbookViewId="0">
      <selection activeCell="E6" sqref="E6"/>
    </sheetView>
  </sheetViews>
  <sheetFormatPr defaultColWidth="8.6328125" defaultRowHeight="12.5"/>
  <cols>
    <col min="1" max="1" width="26.54296875" style="304" customWidth="1"/>
    <col min="2" max="2" width="12" style="304" customWidth="1"/>
    <col min="3" max="3" width="27.453125" style="304" customWidth="1"/>
    <col min="4" max="4" width="55.54296875" style="304" customWidth="1"/>
    <col min="5" max="5" width="38" style="304" customWidth="1"/>
    <col min="6" max="16384" width="8.6328125" style="304"/>
  </cols>
  <sheetData>
    <row r="1" spans="1:7" ht="33" customHeight="1">
      <c r="A1" s="650"/>
      <c r="B1" s="653" t="s">
        <v>1799</v>
      </c>
      <c r="C1" s="653"/>
      <c r="D1" s="653"/>
      <c r="E1" s="654"/>
    </row>
    <row r="2" spans="1:7" ht="20.149999999999999" customHeight="1">
      <c r="A2" s="651"/>
      <c r="B2" s="655" t="s">
        <v>1800</v>
      </c>
      <c r="C2" s="655"/>
      <c r="D2" s="305"/>
      <c r="E2" s="306" t="s">
        <v>1801</v>
      </c>
    </row>
    <row r="3" spans="1:7" ht="23.15" customHeight="1" thickBot="1">
      <c r="A3" s="652"/>
      <c r="B3" s="656" t="s">
        <v>1802</v>
      </c>
      <c r="C3" s="656"/>
      <c r="D3" s="307"/>
      <c r="E3" s="308" t="s">
        <v>1803</v>
      </c>
      <c r="F3" s="309"/>
    </row>
    <row r="4" spans="1:7" ht="17.25" customHeight="1">
      <c r="B4" s="310"/>
      <c r="C4" s="310"/>
      <c r="D4" s="311"/>
    </row>
    <row r="5" spans="1:7" ht="18">
      <c r="A5" s="312" t="s">
        <v>1804</v>
      </c>
      <c r="C5" s="313"/>
      <c r="D5" s="313"/>
    </row>
    <row r="6" spans="1:7" ht="63" customHeight="1">
      <c r="A6" s="657" t="s">
        <v>1805</v>
      </c>
      <c r="B6" s="658"/>
      <c r="C6" s="314" t="s">
        <v>1793</v>
      </c>
      <c r="D6" s="315" t="s">
        <v>1806</v>
      </c>
      <c r="E6" s="316"/>
      <c r="F6" s="317"/>
      <c r="G6" s="317"/>
    </row>
    <row r="7" spans="1:7" ht="17.5">
      <c r="A7" s="643" t="s">
        <v>1807</v>
      </c>
      <c r="B7" s="643"/>
      <c r="C7" s="318">
        <v>45790</v>
      </c>
      <c r="D7" s="319" t="s">
        <v>1808</v>
      </c>
      <c r="E7" s="320" t="s">
        <v>323</v>
      </c>
      <c r="F7" s="317"/>
      <c r="G7" s="317"/>
    </row>
    <row r="8" spans="1:7" ht="17.5">
      <c r="A8" s="643" t="s">
        <v>1809</v>
      </c>
      <c r="B8" s="643"/>
      <c r="C8" s="321" t="s">
        <v>1810</v>
      </c>
      <c r="D8" s="315" t="s">
        <v>1811</v>
      </c>
      <c r="E8" s="320" t="s">
        <v>1812</v>
      </c>
      <c r="F8" s="317"/>
      <c r="G8" s="317"/>
    </row>
    <row r="9" spans="1:7" ht="17.5">
      <c r="F9" s="317"/>
      <c r="G9" s="317"/>
    </row>
    <row r="10" spans="1:7" ht="18.5" thickBot="1">
      <c r="A10" s="312" t="s">
        <v>1813</v>
      </c>
      <c r="F10" s="317"/>
      <c r="G10" s="317"/>
    </row>
    <row r="11" spans="1:7" s="311" customFormat="1" ht="18" thickBot="1">
      <c r="A11" s="640" t="s">
        <v>1814</v>
      </c>
      <c r="B11" s="641"/>
      <c r="C11" s="322" t="s">
        <v>1815</v>
      </c>
      <c r="D11" s="323" t="s">
        <v>1816</v>
      </c>
      <c r="F11" s="324"/>
      <c r="G11" s="324"/>
    </row>
    <row r="12" spans="1:7" ht="17.5">
      <c r="A12" s="646" t="s">
        <v>1817</v>
      </c>
      <c r="B12" s="647"/>
      <c r="C12" s="325">
        <f>C34/D12</f>
        <v>532.26450389832837</v>
      </c>
      <c r="D12" s="326">
        <v>1</v>
      </c>
      <c r="F12" s="317"/>
      <c r="G12" s="317"/>
    </row>
    <row r="13" spans="1:7" ht="17.5">
      <c r="A13" s="642" t="s">
        <v>1284</v>
      </c>
      <c r="B13" s="643"/>
      <c r="C13" s="327">
        <f>C36*0.3/D13</f>
        <v>111.31461134846724</v>
      </c>
      <c r="D13" s="328">
        <f>A24</f>
        <v>3.26</v>
      </c>
      <c r="F13" s="317"/>
      <c r="G13" s="317"/>
    </row>
    <row r="14" spans="1:7" ht="17.5">
      <c r="A14" s="648" t="s">
        <v>53</v>
      </c>
      <c r="B14" s="649"/>
      <c r="C14" s="327">
        <f>C32/D14</f>
        <v>483.01442307692298</v>
      </c>
      <c r="D14" s="328">
        <f>A24</f>
        <v>3.26</v>
      </c>
      <c r="F14" s="317"/>
      <c r="G14" s="317"/>
    </row>
    <row r="15" spans="1:7" ht="17.5">
      <c r="A15" s="642" t="s">
        <v>1818</v>
      </c>
      <c r="B15" s="643"/>
      <c r="C15" s="327">
        <f>C36*0.4/D15</f>
        <v>148.41948179795634</v>
      </c>
      <c r="D15" s="328">
        <f>A24</f>
        <v>3.26</v>
      </c>
      <c r="F15" s="317"/>
      <c r="G15" s="317"/>
    </row>
    <row r="16" spans="1:7" ht="17.5">
      <c r="A16" s="642" t="s">
        <v>1819</v>
      </c>
      <c r="B16" s="643"/>
      <c r="C16" s="327">
        <f>C35/D16</f>
        <v>95.193525919946424</v>
      </c>
      <c r="D16" s="328">
        <f>A24</f>
        <v>3.26</v>
      </c>
      <c r="F16" s="317"/>
      <c r="G16" s="317"/>
    </row>
    <row r="17" spans="1:7" ht="17.5">
      <c r="A17" s="642" t="s">
        <v>1820</v>
      </c>
      <c r="B17" s="643"/>
      <c r="C17" s="327">
        <f>C36*0.3</f>
        <v>362.88563299600315</v>
      </c>
      <c r="D17" s="329"/>
      <c r="F17" s="317"/>
      <c r="G17" s="317"/>
    </row>
    <row r="18" spans="1:7" ht="17.5">
      <c r="A18" s="642" t="s">
        <v>1821</v>
      </c>
      <c r="B18" s="643"/>
      <c r="C18" s="327">
        <f>C33</f>
        <v>1185.1684637534206</v>
      </c>
      <c r="D18" s="329"/>
      <c r="F18" s="317"/>
      <c r="G18" s="317"/>
    </row>
    <row r="19" spans="1:7" ht="17.5">
      <c r="A19" s="642" t="s">
        <v>1822</v>
      </c>
      <c r="B19" s="643"/>
      <c r="C19" s="327">
        <f>C39*0.05</f>
        <v>161.73699128395037</v>
      </c>
      <c r="D19" s="329"/>
      <c r="F19" s="317"/>
      <c r="G19" s="317"/>
    </row>
    <row r="20" spans="1:7" ht="17.5">
      <c r="A20" s="642" t="s">
        <v>1823</v>
      </c>
      <c r="B20" s="643"/>
      <c r="C20" s="327">
        <f>C37-C19</f>
        <v>319.46397451953828</v>
      </c>
      <c r="D20" s="329"/>
      <c r="F20" s="317"/>
      <c r="G20" s="317"/>
    </row>
    <row r="21" spans="1:7" ht="18" thickBot="1">
      <c r="A21" s="644" t="s">
        <v>1824</v>
      </c>
      <c r="B21" s="645"/>
      <c r="C21" s="330">
        <f>C38</f>
        <v>575.57692307692309</v>
      </c>
      <c r="D21" s="331"/>
      <c r="F21" s="317"/>
      <c r="G21" s="317"/>
    </row>
    <row r="22" spans="1:7" ht="18" thickBot="1">
      <c r="F22" s="317"/>
      <c r="G22" s="317"/>
    </row>
    <row r="23" spans="1:7" ht="17.5">
      <c r="A23" s="628" t="s">
        <v>1825</v>
      </c>
      <c r="B23" s="629"/>
      <c r="C23" s="630"/>
      <c r="F23" s="317"/>
      <c r="G23" s="317"/>
    </row>
    <row r="24" spans="1:7" ht="17.5">
      <c r="A24" s="631">
        <f>D32</f>
        <v>3.26</v>
      </c>
      <c r="B24" s="632"/>
      <c r="C24" s="633"/>
      <c r="F24" s="317"/>
      <c r="G24" s="317"/>
    </row>
    <row r="25" spans="1:7" ht="17.5">
      <c r="A25" s="634" t="s">
        <v>1826</v>
      </c>
      <c r="B25" s="635"/>
      <c r="C25" s="636"/>
      <c r="F25" s="317"/>
      <c r="G25" s="317"/>
    </row>
    <row r="26" spans="1:7" ht="18" thickBot="1">
      <c r="A26" s="637">
        <f>D34</f>
        <v>1.8</v>
      </c>
      <c r="B26" s="638"/>
      <c r="C26" s="639"/>
      <c r="F26" s="317"/>
      <c r="G26" s="317"/>
    </row>
    <row r="27" spans="1:7" ht="17.5">
      <c r="F27" s="317"/>
      <c r="G27" s="317"/>
    </row>
    <row r="28" spans="1:7" ht="17.5">
      <c r="F28" s="317"/>
      <c r="G28" s="317"/>
    </row>
    <row r="29" spans="1:7" ht="18">
      <c r="A29" s="312" t="s">
        <v>1827</v>
      </c>
      <c r="F29" s="317"/>
      <c r="G29" s="317"/>
    </row>
    <row r="30" spans="1:7" ht="18" thickBot="1">
      <c r="A30" s="332" t="s">
        <v>1828</v>
      </c>
      <c r="F30" s="317"/>
      <c r="G30" s="317"/>
    </row>
    <row r="31" spans="1:7" s="311" customFormat="1" ht="41.75" customHeight="1">
      <c r="A31" s="640" t="s">
        <v>1814</v>
      </c>
      <c r="B31" s="641"/>
      <c r="C31" s="333" t="s">
        <v>1829</v>
      </c>
      <c r="D31" s="334" t="s">
        <v>1825</v>
      </c>
      <c r="E31" s="335"/>
    </row>
    <row r="32" spans="1:7" s="311" customFormat="1" ht="29.15" customHeight="1">
      <c r="A32" s="620" t="s">
        <v>1830</v>
      </c>
      <c r="B32" s="621"/>
      <c r="C32" s="336">
        <v>1574.6270192307688</v>
      </c>
      <c r="D32" s="337">
        <v>3.26</v>
      </c>
      <c r="E32" s="324"/>
    </row>
    <row r="33" spans="1:5" s="311" customFormat="1" ht="29.15" customHeight="1">
      <c r="A33" s="620" t="s">
        <v>1831</v>
      </c>
      <c r="B33" s="621"/>
      <c r="C33" s="336">
        <v>1185.1684637534206</v>
      </c>
      <c r="D33" s="338" t="s">
        <v>1832</v>
      </c>
    </row>
    <row r="34" spans="1:5" s="311" customFormat="1" ht="29.15" customHeight="1">
      <c r="A34" s="622" t="s">
        <v>1833</v>
      </c>
      <c r="B34" s="623"/>
      <c r="C34" s="336">
        <v>532.26450389832837</v>
      </c>
      <c r="D34" s="337">
        <v>1.8</v>
      </c>
      <c r="E34" s="324"/>
    </row>
    <row r="35" spans="1:5" s="311" customFormat="1" ht="29.15" customHeight="1">
      <c r="A35" s="620" t="s">
        <v>1819</v>
      </c>
      <c r="B35" s="621"/>
      <c r="C35" s="336">
        <v>310.33089449902531</v>
      </c>
      <c r="D35" s="324"/>
      <c r="E35" s="324"/>
    </row>
    <row r="36" spans="1:5" s="311" customFormat="1" ht="29.15" customHeight="1">
      <c r="A36" s="620" t="s">
        <v>1834</v>
      </c>
      <c r="B36" s="621"/>
      <c r="C36" s="336">
        <v>1209.618776653344</v>
      </c>
      <c r="D36" s="324"/>
      <c r="E36" s="324"/>
    </row>
    <row r="37" spans="1:5" s="311" customFormat="1" ht="29.15" customHeight="1">
      <c r="A37" s="624" t="s">
        <v>1835</v>
      </c>
      <c r="B37" s="625"/>
      <c r="C37" s="336">
        <v>481.20096580348866</v>
      </c>
      <c r="D37" s="324"/>
      <c r="E37" s="324"/>
    </row>
    <row r="38" spans="1:5" s="311" customFormat="1" ht="29" customHeight="1" thickBot="1">
      <c r="A38" s="626" t="s">
        <v>1824</v>
      </c>
      <c r="B38" s="627"/>
      <c r="C38" s="336">
        <v>575.57692307692309</v>
      </c>
      <c r="D38" s="324"/>
      <c r="E38" s="324"/>
    </row>
    <row r="39" spans="1:5" s="311" customFormat="1" ht="29.15" customHeight="1" thickBot="1">
      <c r="A39" s="618" t="s">
        <v>1836</v>
      </c>
      <c r="B39" s="619"/>
      <c r="C39" s="339">
        <f>SUM(C32:C37)/D34*110%</f>
        <v>3234.7398256790075</v>
      </c>
      <c r="D39" s="340"/>
      <c r="E39" s="340"/>
    </row>
    <row r="40" spans="1:5" ht="22.4" customHeight="1"/>
    <row r="41" spans="1:5" ht="22.4" customHeight="1"/>
    <row r="42" spans="1:5" ht="22.4" customHeight="1"/>
    <row r="43" spans="1:5" ht="22.4" customHeight="1"/>
  </sheetData>
  <mergeCells count="31">
    <mergeCell ref="A15:B15"/>
    <mergeCell ref="A1:A3"/>
    <mergeCell ref="B1:E1"/>
    <mergeCell ref="B2:C2"/>
    <mergeCell ref="B3:C3"/>
    <mergeCell ref="A6:B6"/>
    <mergeCell ref="A7:B7"/>
    <mergeCell ref="A8:B8"/>
    <mergeCell ref="A11:B11"/>
    <mergeCell ref="A12:B12"/>
    <mergeCell ref="A13:B13"/>
    <mergeCell ref="A14:B14"/>
    <mergeCell ref="A32:B32"/>
    <mergeCell ref="A16:B16"/>
    <mergeCell ref="A17:B17"/>
    <mergeCell ref="A18:B18"/>
    <mergeCell ref="A19:B19"/>
    <mergeCell ref="A20:B20"/>
    <mergeCell ref="A21:B21"/>
    <mergeCell ref="A23:C23"/>
    <mergeCell ref="A24:C24"/>
    <mergeCell ref="A25:C25"/>
    <mergeCell ref="A26:C26"/>
    <mergeCell ref="A31:B31"/>
    <mergeCell ref="A39:B39"/>
    <mergeCell ref="A33:B33"/>
    <mergeCell ref="A34:B34"/>
    <mergeCell ref="A35:B35"/>
    <mergeCell ref="A36:B36"/>
    <mergeCell ref="A37:B37"/>
    <mergeCell ref="A38:B38"/>
  </mergeCells>
  <pageMargins left="0.75" right="0.75" top="1" bottom="1" header="0.5" footer="0.5"/>
  <pageSetup paperSize="9" scale="52" orientation="landscape"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1">
    <tabColor theme="0"/>
  </sheetPr>
  <dimension ref="A1:AL253"/>
  <sheetViews>
    <sheetView workbookViewId="0">
      <selection activeCell="AH2" sqref="AH2"/>
    </sheetView>
  </sheetViews>
  <sheetFormatPr defaultRowHeight="14.5"/>
  <cols>
    <col min="1" max="1" width="21.90625" customWidth="1"/>
    <col min="2" max="2" width="17" customWidth="1"/>
    <col min="3" max="3" width="13.7265625" customWidth="1"/>
    <col min="4" max="4" width="12.36328125" customWidth="1"/>
    <col min="5" max="5" width="21.7265625" customWidth="1"/>
    <col min="6" max="6" width="18.36328125" customWidth="1"/>
    <col min="7" max="7" width="21.36328125" customWidth="1"/>
    <col min="8" max="10" width="18.36328125" customWidth="1"/>
    <col min="11" max="11" width="14.90625" customWidth="1"/>
    <col min="12" max="12" width="11.90625" customWidth="1"/>
    <col min="13" max="14" width="9.08984375" customWidth="1"/>
    <col min="15" max="15" width="12.36328125" customWidth="1"/>
    <col min="16" max="16" width="18.7265625" customWidth="1"/>
    <col min="17" max="17" width="28.36328125" customWidth="1"/>
    <col min="18" max="18" width="9.08984375" customWidth="1"/>
    <col min="19" max="19" width="20.36328125" customWidth="1"/>
    <col min="20" max="20" width="19.7265625" customWidth="1"/>
    <col min="21" max="21" width="29.36328125" customWidth="1"/>
    <col min="22" max="22" width="27.36328125" customWidth="1"/>
    <col min="23" max="24" width="22.7265625" customWidth="1"/>
    <col min="25" max="25" width="22" customWidth="1"/>
    <col min="26" max="26" width="19.26953125" customWidth="1"/>
    <col min="27" max="27" width="42.90625" customWidth="1"/>
    <col min="28" max="29" width="17.7265625" customWidth="1"/>
    <col min="30" max="30" width="18.08984375" customWidth="1"/>
    <col min="32" max="32" width="10.7265625" bestFit="1" customWidth="1"/>
    <col min="33" max="33" width="12.7265625" customWidth="1"/>
    <col min="34" max="34" width="20" customWidth="1"/>
    <col min="36" max="36" width="45.7265625" bestFit="1" customWidth="1"/>
    <col min="37" max="37" width="20.26953125" style="54" customWidth="1"/>
    <col min="38" max="38" width="9.08984375" style="54" customWidth="1"/>
  </cols>
  <sheetData>
    <row r="1" spans="1:36" s="11" customFormat="1" ht="47.25" customHeight="1">
      <c r="A1" s="35" t="s">
        <v>529</v>
      </c>
      <c r="B1" s="35" t="s">
        <v>669</v>
      </c>
      <c r="C1" s="35" t="s">
        <v>668</v>
      </c>
      <c r="D1" s="35" t="s">
        <v>530</v>
      </c>
      <c r="E1" s="35" t="s">
        <v>705</v>
      </c>
      <c r="F1" s="35" t="s">
        <v>667</v>
      </c>
      <c r="G1" s="35" t="s">
        <v>679</v>
      </c>
      <c r="H1" s="35" t="s">
        <v>680</v>
      </c>
      <c r="I1" s="35" t="s">
        <v>682</v>
      </c>
      <c r="J1" s="35" t="s">
        <v>683</v>
      </c>
      <c r="K1" s="59" t="s">
        <v>538</v>
      </c>
      <c r="L1" s="53" t="s">
        <v>670</v>
      </c>
      <c r="M1" s="53" t="s">
        <v>531</v>
      </c>
      <c r="N1" s="53" t="s">
        <v>532</v>
      </c>
      <c r="O1" s="59" t="s">
        <v>579</v>
      </c>
      <c r="P1" s="53" t="s">
        <v>533</v>
      </c>
      <c r="Q1" s="53" t="s">
        <v>537</v>
      </c>
      <c r="R1" s="53" t="s">
        <v>536</v>
      </c>
      <c r="S1" s="59" t="s">
        <v>146</v>
      </c>
      <c r="T1" s="59" t="s">
        <v>583</v>
      </c>
      <c r="U1" s="53" t="s">
        <v>174</v>
      </c>
      <c r="V1" s="53" t="s">
        <v>242</v>
      </c>
      <c r="W1" s="53" t="s">
        <v>534</v>
      </c>
      <c r="X1" s="53" t="s">
        <v>580</v>
      </c>
      <c r="Y1" s="53" t="s">
        <v>535</v>
      </c>
      <c r="Z1" s="53" t="s">
        <v>43</v>
      </c>
      <c r="AA1" s="53" t="s">
        <v>688</v>
      </c>
      <c r="AB1" s="95" t="s">
        <v>694</v>
      </c>
      <c r="AC1" s="95" t="s">
        <v>698</v>
      </c>
      <c r="AD1" s="64" t="s">
        <v>618</v>
      </c>
      <c r="AE1" s="122" t="s">
        <v>742</v>
      </c>
      <c r="AG1" s="95" t="s">
        <v>771</v>
      </c>
      <c r="AH1" s="95" t="s">
        <v>772</v>
      </c>
      <c r="AI1" s="122" t="s">
        <v>774</v>
      </c>
      <c r="AJ1" s="95" t="s">
        <v>850</v>
      </c>
    </row>
    <row r="2" spans="1:36">
      <c r="A2" s="45" t="s">
        <v>278</v>
      </c>
      <c r="B2" s="41" t="s">
        <v>696</v>
      </c>
      <c r="C2" s="43" t="s">
        <v>39</v>
      </c>
      <c r="D2" s="101" t="s">
        <v>39</v>
      </c>
      <c r="E2" s="105" t="s">
        <v>704</v>
      </c>
      <c r="F2" s="103" t="s">
        <v>769</v>
      </c>
      <c r="G2" s="43" t="s">
        <v>718</v>
      </c>
      <c r="H2" s="43" t="s">
        <v>39</v>
      </c>
      <c r="I2" s="41" t="s">
        <v>111</v>
      </c>
      <c r="J2" s="87" t="s">
        <v>676</v>
      </c>
      <c r="K2" s="87" t="s">
        <v>666</v>
      </c>
      <c r="L2" s="43" t="s">
        <v>53</v>
      </c>
      <c r="M2" s="41" t="s">
        <v>55</v>
      </c>
      <c r="N2" s="43" t="s">
        <v>55</v>
      </c>
      <c r="O2" s="45" t="s">
        <v>89</v>
      </c>
      <c r="P2" s="51" t="s">
        <v>615</v>
      </c>
      <c r="Q2" s="47" t="s">
        <v>93</v>
      </c>
      <c r="R2" s="50" t="s">
        <v>114</v>
      </c>
      <c r="S2" s="155" t="s">
        <v>748</v>
      </c>
      <c r="T2" s="45" t="s">
        <v>149</v>
      </c>
      <c r="U2" s="51" t="s">
        <v>155</v>
      </c>
      <c r="V2" s="45" t="s">
        <v>175</v>
      </c>
      <c r="W2" s="45" t="s">
        <v>272</v>
      </c>
      <c r="X2" s="45" t="s">
        <v>581</v>
      </c>
      <c r="Y2" s="47" t="s">
        <v>848</v>
      </c>
      <c r="Z2" s="45" t="s">
        <v>584</v>
      </c>
      <c r="AA2" s="51" t="s">
        <v>689</v>
      </c>
      <c r="AB2" s="45" t="s">
        <v>141</v>
      </c>
      <c r="AC2" s="51" t="s">
        <v>106</v>
      </c>
      <c r="AD2" s="96">
        <f>IF('DE Employment Structure'!C7="Low",1,IF('DE Employment Structure'!C7="Medium",2,IF('DE Employment Structure'!C7="High",3)))</f>
        <v>2</v>
      </c>
      <c r="AE2" s="123" t="s">
        <v>743</v>
      </c>
      <c r="AF2" s="152" t="s">
        <v>859</v>
      </c>
      <c r="AG2" t="s">
        <v>673</v>
      </c>
      <c r="AH2" t="s">
        <v>761</v>
      </c>
      <c r="AI2" s="141"/>
      <c r="AJ2" s="45" t="s">
        <v>851</v>
      </c>
    </row>
    <row r="3" spans="1:36">
      <c r="A3" s="39" t="s">
        <v>279</v>
      </c>
      <c r="B3" s="38" t="s">
        <v>39</v>
      </c>
      <c r="C3" s="58" t="s">
        <v>40</v>
      </c>
      <c r="D3" s="102" t="s">
        <v>41</v>
      </c>
      <c r="E3" s="106" t="s">
        <v>706</v>
      </c>
      <c r="F3" s="104" t="s">
        <v>770</v>
      </c>
      <c r="G3" s="58" t="s">
        <v>719</v>
      </c>
      <c r="H3" s="44" t="s">
        <v>41</v>
      </c>
      <c r="I3" s="38" t="s">
        <v>872</v>
      </c>
      <c r="J3" s="88" t="s">
        <v>543</v>
      </c>
      <c r="K3" s="88" t="s">
        <v>39</v>
      </c>
      <c r="L3" s="44" t="s">
        <v>54</v>
      </c>
      <c r="M3" s="38" t="s">
        <v>56</v>
      </c>
      <c r="N3" s="58" t="s">
        <v>56</v>
      </c>
      <c r="O3" s="39" t="s">
        <v>90</v>
      </c>
      <c r="P3" t="s">
        <v>91</v>
      </c>
      <c r="Q3" s="36" t="s">
        <v>94</v>
      </c>
      <c r="R3" s="37" t="s">
        <v>115</v>
      </c>
      <c r="S3" s="40" t="s">
        <v>138</v>
      </c>
      <c r="T3" s="39" t="s">
        <v>695</v>
      </c>
      <c r="U3" t="s">
        <v>156</v>
      </c>
      <c r="V3" s="39" t="s">
        <v>155</v>
      </c>
      <c r="W3" s="39" t="s">
        <v>273</v>
      </c>
      <c r="X3" s="46" t="s">
        <v>275</v>
      </c>
      <c r="Y3" s="48" t="s">
        <v>849</v>
      </c>
      <c r="Z3" s="39" t="s">
        <v>585</v>
      </c>
      <c r="AA3" t="s">
        <v>690</v>
      </c>
      <c r="AB3" s="46" t="s">
        <v>274</v>
      </c>
      <c r="AC3" s="52" t="s">
        <v>699</v>
      </c>
      <c r="AD3" s="96">
        <f>IF('DE Employment Structure'!C8="Low",1,IF('DE Employment Structure'!C8="Medium",2,IF('DE Employment Structure'!C8="High",3)))</f>
        <v>2</v>
      </c>
      <c r="AE3" s="123" t="s">
        <v>744</v>
      </c>
      <c r="AF3" s="152" t="s">
        <v>746</v>
      </c>
      <c r="AG3" t="s">
        <v>156</v>
      </c>
      <c r="AH3" t="s">
        <v>773</v>
      </c>
      <c r="AI3" s="141"/>
      <c r="AJ3" s="39" t="s">
        <v>852</v>
      </c>
    </row>
    <row r="4" spans="1:36">
      <c r="A4" s="39" t="s">
        <v>280</v>
      </c>
      <c r="B4" s="38" t="s">
        <v>40</v>
      </c>
      <c r="C4" s="58" t="s">
        <v>41</v>
      </c>
      <c r="D4" s="34"/>
      <c r="E4" s="107" t="s">
        <v>707</v>
      </c>
      <c r="F4" s="34"/>
      <c r="G4" s="44" t="s">
        <v>720</v>
      </c>
      <c r="H4" s="34"/>
      <c r="I4" s="42" t="s">
        <v>873</v>
      </c>
      <c r="J4" s="89" t="s">
        <v>112</v>
      </c>
      <c r="K4" s="89" t="s">
        <v>41</v>
      </c>
      <c r="L4" s="34"/>
      <c r="M4" s="38" t="s">
        <v>57</v>
      </c>
      <c r="N4" s="58" t="s">
        <v>57</v>
      </c>
      <c r="O4" s="46" t="s">
        <v>578</v>
      </c>
      <c r="P4" s="52" t="s">
        <v>92</v>
      </c>
      <c r="Q4" s="36" t="s">
        <v>95</v>
      </c>
      <c r="R4" s="37" t="s">
        <v>116</v>
      </c>
      <c r="S4" s="40" t="s">
        <v>139</v>
      </c>
      <c r="T4" s="39" t="s">
        <v>153</v>
      </c>
      <c r="U4" t="s">
        <v>157</v>
      </c>
      <c r="V4" s="39" t="s">
        <v>176</v>
      </c>
      <c r="W4" s="39" t="s">
        <v>276</v>
      </c>
      <c r="Z4" s="39" t="s">
        <v>586</v>
      </c>
      <c r="AA4" s="52" t="s">
        <v>41</v>
      </c>
      <c r="AD4" s="96">
        <f>IF('DE Employment Structure'!C9="Low",1,IF('DE Employment Structure'!C9="Medium",2,IF('DE Employment Structure'!C9="High",3)))</f>
        <v>2</v>
      </c>
      <c r="AE4" s="123" t="s">
        <v>745</v>
      </c>
      <c r="AJ4" s="39" t="s">
        <v>853</v>
      </c>
    </row>
    <row r="5" spans="1:36">
      <c r="A5" s="39" t="s">
        <v>281</v>
      </c>
      <c r="B5" s="42" t="s">
        <v>41</v>
      </c>
      <c r="C5" s="44" t="s">
        <v>666</v>
      </c>
      <c r="D5" s="34"/>
      <c r="E5" s="34"/>
      <c r="F5" s="34"/>
      <c r="G5" s="34"/>
      <c r="H5" s="34"/>
      <c r="I5" s="34" t="s">
        <v>540</v>
      </c>
      <c r="J5" s="34"/>
      <c r="M5" s="38" t="s">
        <v>58</v>
      </c>
      <c r="N5" s="38" t="s">
        <v>58</v>
      </c>
      <c r="Q5" s="36" t="s">
        <v>96</v>
      </c>
      <c r="R5" s="37" t="s">
        <v>117</v>
      </c>
      <c r="S5" s="40" t="s">
        <v>860</v>
      </c>
      <c r="T5" s="39" t="s">
        <v>151</v>
      </c>
      <c r="U5" t="s">
        <v>158</v>
      </c>
      <c r="V5" s="39" t="s">
        <v>177</v>
      </c>
      <c r="W5" s="39" t="s">
        <v>597</v>
      </c>
      <c r="Z5" s="46" t="s">
        <v>587</v>
      </c>
      <c r="AD5" s="96">
        <f>IF('DE Employment Structure'!C10="Low",1,IF('DE Employment Structure'!C10="Medium",2,IF('DE Employment Structure'!C10="High",3)))</f>
        <v>2</v>
      </c>
      <c r="AE5" s="123" t="s">
        <v>616</v>
      </c>
      <c r="AJ5" s="39" t="s">
        <v>854</v>
      </c>
    </row>
    <row r="6" spans="1:36">
      <c r="A6" s="39" t="s">
        <v>282</v>
      </c>
      <c r="M6" s="42" t="s">
        <v>59</v>
      </c>
      <c r="N6" s="42" t="s">
        <v>59</v>
      </c>
      <c r="Q6" s="48" t="s">
        <v>597</v>
      </c>
      <c r="R6" s="37" t="s">
        <v>775</v>
      </c>
      <c r="S6" s="40" t="s">
        <v>597</v>
      </c>
      <c r="T6" s="39" t="s">
        <v>150</v>
      </c>
      <c r="U6" t="s">
        <v>159</v>
      </c>
      <c r="V6" s="39" t="s">
        <v>178</v>
      </c>
      <c r="W6" s="46" t="s">
        <v>277</v>
      </c>
      <c r="AD6" s="96">
        <f>IF('DE Employment Structure'!C11="Low",1,IF('DE Employment Structure'!C11="Medium",2,IF('DE Employment Structure'!C11="High",3)))</f>
        <v>2</v>
      </c>
      <c r="AJ6" s="39" t="s">
        <v>855</v>
      </c>
    </row>
    <row r="7" spans="1:36">
      <c r="A7" s="39" t="s">
        <v>283</v>
      </c>
      <c r="N7" s="34"/>
      <c r="R7" s="37" t="s">
        <v>776</v>
      </c>
      <c r="S7" s="40" t="s">
        <v>861</v>
      </c>
      <c r="T7" s="39" t="s">
        <v>148</v>
      </c>
      <c r="U7" t="s">
        <v>160</v>
      </c>
      <c r="V7" s="39" t="s">
        <v>179</v>
      </c>
      <c r="AD7" s="96">
        <f>IF('DE Employment Structure'!C12="Low",1,IF('DE Employment Structure'!C12="Medium",2,IF('DE Employment Structure'!C12="High",3)))</f>
        <v>2</v>
      </c>
      <c r="AJ7" s="39" t="s">
        <v>870</v>
      </c>
    </row>
    <row r="8" spans="1:36">
      <c r="A8" s="39" t="s">
        <v>284</v>
      </c>
      <c r="R8" s="37" t="s">
        <v>777</v>
      </c>
      <c r="S8" s="40" t="s">
        <v>140</v>
      </c>
      <c r="T8" s="39" t="s">
        <v>582</v>
      </c>
      <c r="U8" t="s">
        <v>161</v>
      </c>
      <c r="V8" s="39" t="s">
        <v>180</v>
      </c>
      <c r="AD8" s="96">
        <f>IF('DE Employment Structure'!C13="Low",1,IF('DE Employment Structure'!C13="Medium",2,IF('DE Employment Structure'!C13="High",3)))</f>
        <v>2</v>
      </c>
      <c r="AJ8" s="39" t="s">
        <v>8</v>
      </c>
    </row>
    <row r="9" spans="1:36">
      <c r="A9" s="39" t="s">
        <v>285</v>
      </c>
      <c r="R9" s="37" t="s">
        <v>778</v>
      </c>
      <c r="S9" s="40" t="s">
        <v>141</v>
      </c>
      <c r="T9" s="39" t="s">
        <v>147</v>
      </c>
      <c r="U9" t="s">
        <v>162</v>
      </c>
      <c r="V9" s="39" t="s">
        <v>181</v>
      </c>
      <c r="AD9" s="96">
        <f>IF('DE Employment Structure'!C14="Low",1,IF('DE Employment Structure'!C14="Medium",2,IF('DE Employment Structure'!C14="High",3)))</f>
        <v>2</v>
      </c>
      <c r="AJ9" s="46" t="s">
        <v>856</v>
      </c>
    </row>
    <row r="10" spans="1:36">
      <c r="A10" s="39" t="s">
        <v>286</v>
      </c>
      <c r="R10" s="37" t="s">
        <v>779</v>
      </c>
      <c r="S10" s="40" t="s">
        <v>142</v>
      </c>
      <c r="T10" s="39" t="s">
        <v>262</v>
      </c>
      <c r="U10" t="s">
        <v>163</v>
      </c>
      <c r="V10" s="39" t="s">
        <v>182</v>
      </c>
      <c r="AD10" s="96">
        <f>IF('DE Employment Structure'!C15="Low",1,IF('DE Employment Structure'!C15="Medium",2,IF('DE Employment Structure'!C15="High",3)))</f>
        <v>2</v>
      </c>
    </row>
    <row r="11" spans="1:36">
      <c r="A11" s="39" t="s">
        <v>287</v>
      </c>
      <c r="R11" s="37" t="s">
        <v>780</v>
      </c>
      <c r="S11" s="40" t="s">
        <v>143</v>
      </c>
      <c r="T11" s="39" t="s">
        <v>274</v>
      </c>
      <c r="U11" t="s">
        <v>164</v>
      </c>
      <c r="V11" s="39" t="s">
        <v>253</v>
      </c>
      <c r="AD11" s="96">
        <f>IF('DE Employment Structure'!C16="Low",1,IF('DE Employment Structure'!C16="Medium",2,IF('DE Employment Structure'!C16="High",3)))</f>
        <v>2</v>
      </c>
    </row>
    <row r="12" spans="1:36">
      <c r="A12" s="39" t="s">
        <v>288</v>
      </c>
      <c r="R12" s="40" t="s">
        <v>781</v>
      </c>
      <c r="S12" s="39" t="s">
        <v>144</v>
      </c>
      <c r="T12" s="39" t="s">
        <v>739</v>
      </c>
      <c r="U12" t="s">
        <v>165</v>
      </c>
      <c r="V12" s="39" t="s">
        <v>254</v>
      </c>
      <c r="AD12" s="96">
        <f>IF('DE Employment Structure'!C17="Low",1,IF('DE Employment Structure'!C17="Medium",2,IF('DE Employment Structure'!C17="High",3)))</f>
        <v>2</v>
      </c>
    </row>
    <row r="13" spans="1:36">
      <c r="A13" s="39" t="s">
        <v>289</v>
      </c>
      <c r="R13" s="40" t="s">
        <v>782</v>
      </c>
      <c r="S13" s="46" t="s">
        <v>145</v>
      </c>
      <c r="T13" s="39" t="s">
        <v>152</v>
      </c>
      <c r="U13" t="s">
        <v>166</v>
      </c>
      <c r="V13" s="39" t="s">
        <v>183</v>
      </c>
      <c r="AD13" s="96">
        <f>IF('DE Employment Structure'!C18="Low",1,IF('DE Employment Structure'!C18="Medium",2,IF('DE Employment Structure'!C18="High",3)))</f>
        <v>2</v>
      </c>
    </row>
    <row r="14" spans="1:36">
      <c r="A14" s="39" t="s">
        <v>290</v>
      </c>
      <c r="R14" s="40" t="s">
        <v>783</v>
      </c>
      <c r="T14" s="39" t="s">
        <v>154</v>
      </c>
      <c r="U14" t="s">
        <v>167</v>
      </c>
      <c r="V14" s="39" t="s">
        <v>184</v>
      </c>
    </row>
    <row r="15" spans="1:36">
      <c r="A15" s="39" t="s">
        <v>291</v>
      </c>
      <c r="R15" s="40" t="s">
        <v>784</v>
      </c>
      <c r="T15" s="46" t="s">
        <v>597</v>
      </c>
      <c r="U15" s="36" t="s">
        <v>168</v>
      </c>
      <c r="V15" s="39" t="s">
        <v>185</v>
      </c>
    </row>
    <row r="16" spans="1:36">
      <c r="A16" s="39" t="s">
        <v>292</v>
      </c>
      <c r="R16" s="40" t="s">
        <v>785</v>
      </c>
      <c r="U16" s="36" t="s">
        <v>169</v>
      </c>
      <c r="V16" s="39" t="s">
        <v>255</v>
      </c>
    </row>
    <row r="17" spans="1:31">
      <c r="A17" s="39" t="s">
        <v>293</v>
      </c>
      <c r="R17" s="40" t="s">
        <v>786</v>
      </c>
      <c r="U17" s="36" t="s">
        <v>170</v>
      </c>
      <c r="V17" s="39" t="s">
        <v>186</v>
      </c>
      <c r="AD17">
        <f>IF('DE Employment Structure'!C7="Low",1,IF('DE Employment Structure'!C7="Medium",2,IF('DE Employment Structure'!C7="High",3)))</f>
        <v>2</v>
      </c>
      <c r="AE17" s="156">
        <f>IF('DE Employment Structure'!C7="",0,0)+AD17+0</f>
        <v>2</v>
      </c>
    </row>
    <row r="18" spans="1:31">
      <c r="A18" s="39" t="s">
        <v>294</v>
      </c>
      <c r="R18" s="40" t="s">
        <v>787</v>
      </c>
      <c r="U18" s="36" t="s">
        <v>171</v>
      </c>
      <c r="V18" s="39" t="s">
        <v>187</v>
      </c>
      <c r="AD18">
        <f>IF('DE Employment Structure'!C8="Low",1,IF('DE Employment Structure'!C8="Medium",2,IF('DE Employment Structure'!C8="High",3)))</f>
        <v>2</v>
      </c>
      <c r="AE18" s="156">
        <f>IF('DE Employment Structure'!C7="",0,0)+AD18+0</f>
        <v>2</v>
      </c>
    </row>
    <row r="19" spans="1:31">
      <c r="A19" s="39" t="s">
        <v>295</v>
      </c>
      <c r="R19" s="40" t="s">
        <v>788</v>
      </c>
      <c r="U19" s="36" t="s">
        <v>172</v>
      </c>
      <c r="V19" s="39" t="s">
        <v>188</v>
      </c>
      <c r="AD19">
        <f>IF('DE Employment Structure'!C9="Low",1,IF('DE Employment Structure'!C9="Medium",2,IF('DE Employment Structure'!C9="High",3)))</f>
        <v>2</v>
      </c>
      <c r="AE19" s="156">
        <f>IF('DE Employment Structure'!C7="",0,0)+AD19+0</f>
        <v>2</v>
      </c>
    </row>
    <row r="20" spans="1:31">
      <c r="A20" s="39" t="s">
        <v>296</v>
      </c>
      <c r="R20" s="40" t="s">
        <v>789</v>
      </c>
      <c r="U20" s="36" t="s">
        <v>173</v>
      </c>
      <c r="V20" s="39" t="s">
        <v>189</v>
      </c>
      <c r="AD20">
        <f>IF('DE Employment Structure'!C10="Low",1,IF('DE Employment Structure'!C10="Medium",2,IF('DE Employment Structure'!C10="High",3)))</f>
        <v>2</v>
      </c>
      <c r="AE20" s="156">
        <f>IF('DE Employment Structure'!C7="",0,0)+AD20+0</f>
        <v>2</v>
      </c>
    </row>
    <row r="21" spans="1:31">
      <c r="A21" s="39" t="s">
        <v>297</v>
      </c>
      <c r="R21" s="40" t="s">
        <v>790</v>
      </c>
      <c r="U21" s="48" t="s">
        <v>597</v>
      </c>
      <c r="V21" s="39" t="s">
        <v>190</v>
      </c>
      <c r="AD21">
        <f>IF('DE Employment Structure'!C11="Low",1,IF('DE Employment Structure'!C11="Medium",2,IF('DE Employment Structure'!C11="High",3)))</f>
        <v>2</v>
      </c>
      <c r="AE21" s="156">
        <f>IF('DE Employment Structure'!C7="",0,0)+AD21+0</f>
        <v>2</v>
      </c>
    </row>
    <row r="22" spans="1:31">
      <c r="A22" s="39" t="s">
        <v>298</v>
      </c>
      <c r="R22" s="40" t="s">
        <v>791</v>
      </c>
      <c r="V22" s="39" t="s">
        <v>191</v>
      </c>
      <c r="AD22">
        <f>IF('DE Employment Structure'!C12="Low",1,IF('DE Employment Structure'!C12="Medium",2,IF('DE Employment Structure'!C12="High",3)))</f>
        <v>2</v>
      </c>
      <c r="AE22" s="156">
        <f>IF('DE Employment Structure'!C7="",0,0)+AD22+0</f>
        <v>2</v>
      </c>
    </row>
    <row r="23" spans="1:31">
      <c r="A23" s="39" t="s">
        <v>299</v>
      </c>
      <c r="R23" s="40" t="s">
        <v>792</v>
      </c>
      <c r="V23" s="39" t="s">
        <v>192</v>
      </c>
      <c r="AD23">
        <f>IF('DE Employment Structure'!C13="Low",1,IF('DE Employment Structure'!C13="Medium",2,IF('DE Employment Structure'!C13="High",3)))</f>
        <v>2</v>
      </c>
      <c r="AE23" s="156">
        <f>IF('DE Employment Structure'!C7="",0,0)+AD23+0</f>
        <v>2</v>
      </c>
    </row>
    <row r="24" spans="1:31">
      <c r="A24" s="39" t="s">
        <v>300</v>
      </c>
      <c r="R24" s="40" t="s">
        <v>793</v>
      </c>
      <c r="V24" s="39" t="s">
        <v>193</v>
      </c>
      <c r="AD24">
        <f>IF('DE Employment Structure'!C14="Low",1,IF('DE Employment Structure'!C14="Medium",2,IF('DE Employment Structure'!C14="High",3)))</f>
        <v>2</v>
      </c>
      <c r="AE24" s="156">
        <f>IF('DE Employment Structure'!C7="",0,0)+AD24+0</f>
        <v>2</v>
      </c>
    </row>
    <row r="25" spans="1:31">
      <c r="A25" s="39" t="s">
        <v>301</v>
      </c>
      <c r="R25" s="40" t="s">
        <v>794</v>
      </c>
      <c r="V25" s="39" t="s">
        <v>194</v>
      </c>
      <c r="AD25">
        <f>IF('DE Employment Structure'!C15="Low",1,IF('DE Employment Structure'!C15="Medium",2,IF('DE Employment Structure'!C15="High",3)))</f>
        <v>2</v>
      </c>
      <c r="AE25" s="156">
        <f>IF('DE Employment Structure'!C7="",0,0)+AD25+0</f>
        <v>2</v>
      </c>
    </row>
    <row r="26" spans="1:31">
      <c r="A26" s="39" t="s">
        <v>302</v>
      </c>
      <c r="R26" s="40" t="s">
        <v>795</v>
      </c>
      <c r="V26" s="39" t="s">
        <v>195</v>
      </c>
      <c r="AD26">
        <f>IF('DE Employment Structure'!C16="Low",1,IF('DE Employment Structure'!C16="Medium",2,IF('DE Employment Structure'!C16="High",3)))</f>
        <v>2</v>
      </c>
      <c r="AE26" s="156">
        <f>IF('DE Employment Structure'!C7="",0,0)+AD26+0</f>
        <v>2</v>
      </c>
    </row>
    <row r="27" spans="1:31">
      <c r="A27" s="39" t="s">
        <v>303</v>
      </c>
      <c r="R27" s="40" t="s">
        <v>796</v>
      </c>
      <c r="V27" s="39" t="s">
        <v>196</v>
      </c>
      <c r="AD27">
        <f>IF('DE Employment Structure'!C17="Low",1,IF('DE Employment Structure'!C17="Medium",2,IF('DE Employment Structure'!C17="High",3)))</f>
        <v>2</v>
      </c>
      <c r="AE27" s="156">
        <f>IF('DE Employment Structure'!C7="",0,0)+AD27+0</f>
        <v>2</v>
      </c>
    </row>
    <row r="28" spans="1:31">
      <c r="A28" s="39" t="s">
        <v>304</v>
      </c>
      <c r="R28" s="40" t="s">
        <v>797</v>
      </c>
      <c r="V28" s="39" t="s">
        <v>197</v>
      </c>
      <c r="AD28">
        <f>IF('DE Employment Structure'!C18="Low",1,IF('DE Employment Structure'!C18="Medium",2,IF('DE Employment Structure'!C18="High",3)))</f>
        <v>2</v>
      </c>
      <c r="AE28" s="156">
        <f>IF('DE Employment Structure'!C7="",0,0)+AD28+0</f>
        <v>2</v>
      </c>
    </row>
    <row r="29" spans="1:31">
      <c r="A29" s="39" t="s">
        <v>305</v>
      </c>
      <c r="R29" s="40" t="s">
        <v>798</v>
      </c>
      <c r="V29" s="39" t="s">
        <v>198</v>
      </c>
    </row>
    <row r="30" spans="1:31">
      <c r="A30" s="39" t="s">
        <v>306</v>
      </c>
      <c r="R30" s="40" t="s">
        <v>799</v>
      </c>
      <c r="V30" s="39" t="s">
        <v>243</v>
      </c>
    </row>
    <row r="31" spans="1:31">
      <c r="A31" s="39" t="s">
        <v>307</v>
      </c>
      <c r="R31" s="40" t="s">
        <v>800</v>
      </c>
      <c r="V31" s="39" t="s">
        <v>199</v>
      </c>
    </row>
    <row r="32" spans="1:31">
      <c r="A32" s="39" t="s">
        <v>308</v>
      </c>
      <c r="R32" s="40" t="s">
        <v>801</v>
      </c>
      <c r="V32" s="39" t="s">
        <v>256</v>
      </c>
    </row>
    <row r="33" spans="1:22">
      <c r="A33" s="39" t="s">
        <v>309</v>
      </c>
      <c r="R33" s="40" t="s">
        <v>802</v>
      </c>
      <c r="V33" s="39" t="s">
        <v>200</v>
      </c>
    </row>
    <row r="34" spans="1:22">
      <c r="A34" s="39" t="s">
        <v>310</v>
      </c>
      <c r="R34" s="40" t="s">
        <v>803</v>
      </c>
      <c r="V34" s="39" t="s">
        <v>201</v>
      </c>
    </row>
    <row r="35" spans="1:22">
      <c r="A35" s="39" t="s">
        <v>311</v>
      </c>
      <c r="R35" s="40" t="s">
        <v>804</v>
      </c>
      <c r="V35" s="39" t="s">
        <v>202</v>
      </c>
    </row>
    <row r="36" spans="1:22">
      <c r="A36" s="39" t="s">
        <v>312</v>
      </c>
      <c r="R36" s="40" t="s">
        <v>805</v>
      </c>
      <c r="V36" s="39" t="s">
        <v>203</v>
      </c>
    </row>
    <row r="37" spans="1:22">
      <c r="A37" s="39" t="s">
        <v>313</v>
      </c>
      <c r="R37" s="40" t="s">
        <v>806</v>
      </c>
      <c r="V37" s="39" t="s">
        <v>204</v>
      </c>
    </row>
    <row r="38" spans="1:22">
      <c r="A38" s="39" t="s">
        <v>314</v>
      </c>
      <c r="R38" s="40" t="s">
        <v>807</v>
      </c>
      <c r="V38" s="39" t="s">
        <v>205</v>
      </c>
    </row>
    <row r="39" spans="1:22">
      <c r="A39" s="39" t="s">
        <v>315</v>
      </c>
      <c r="R39" s="40" t="s">
        <v>808</v>
      </c>
      <c r="V39" s="39" t="s">
        <v>244</v>
      </c>
    </row>
    <row r="40" spans="1:22">
      <c r="A40" s="39" t="s">
        <v>316</v>
      </c>
      <c r="R40" s="40" t="s">
        <v>809</v>
      </c>
      <c r="V40" s="39" t="s">
        <v>206</v>
      </c>
    </row>
    <row r="41" spans="1:22">
      <c r="A41" s="39" t="s">
        <v>317</v>
      </c>
      <c r="R41" s="40" t="s">
        <v>810</v>
      </c>
      <c r="V41" s="39" t="s">
        <v>207</v>
      </c>
    </row>
    <row r="42" spans="1:22">
      <c r="A42" s="39" t="s">
        <v>318</v>
      </c>
      <c r="R42" s="40" t="s">
        <v>118</v>
      </c>
      <c r="V42" s="39" t="s">
        <v>208</v>
      </c>
    </row>
    <row r="43" spans="1:22">
      <c r="A43" s="39" t="s">
        <v>319</v>
      </c>
      <c r="R43" s="40" t="s">
        <v>119</v>
      </c>
      <c r="V43" s="39" t="s">
        <v>209</v>
      </c>
    </row>
    <row r="44" spans="1:22">
      <c r="A44" s="39" t="s">
        <v>320</v>
      </c>
      <c r="R44" s="40" t="s">
        <v>120</v>
      </c>
      <c r="V44" s="39" t="s">
        <v>210</v>
      </c>
    </row>
    <row r="45" spans="1:22">
      <c r="A45" s="39" t="s">
        <v>321</v>
      </c>
      <c r="R45" s="40" t="s">
        <v>121</v>
      </c>
      <c r="V45" s="39" t="s">
        <v>211</v>
      </c>
    </row>
    <row r="46" spans="1:22">
      <c r="A46" s="39" t="s">
        <v>322</v>
      </c>
      <c r="R46" s="40" t="s">
        <v>122</v>
      </c>
      <c r="V46" s="39" t="s">
        <v>212</v>
      </c>
    </row>
    <row r="47" spans="1:22">
      <c r="A47" s="39" t="s">
        <v>323</v>
      </c>
      <c r="R47" s="40" t="s">
        <v>123</v>
      </c>
      <c r="V47" s="39" t="s">
        <v>213</v>
      </c>
    </row>
    <row r="48" spans="1:22">
      <c r="A48" s="39" t="s">
        <v>324</v>
      </c>
      <c r="R48" s="40" t="s">
        <v>124</v>
      </c>
      <c r="V48" s="39" t="s">
        <v>214</v>
      </c>
    </row>
    <row r="49" spans="1:22">
      <c r="A49" s="39" t="s">
        <v>325</v>
      </c>
      <c r="R49" s="40" t="s">
        <v>125</v>
      </c>
      <c r="V49" s="39" t="s">
        <v>215</v>
      </c>
    </row>
    <row r="50" spans="1:22">
      <c r="A50" s="39" t="s">
        <v>326</v>
      </c>
      <c r="R50" s="40" t="s">
        <v>134</v>
      </c>
      <c r="V50" s="39" t="s">
        <v>216</v>
      </c>
    </row>
    <row r="51" spans="1:22">
      <c r="A51" s="39" t="s">
        <v>327</v>
      </c>
      <c r="R51" s="40" t="s">
        <v>135</v>
      </c>
      <c r="V51" s="39" t="s">
        <v>245</v>
      </c>
    </row>
    <row r="52" spans="1:22">
      <c r="A52" s="39" t="s">
        <v>328</v>
      </c>
      <c r="R52" s="40" t="s">
        <v>136</v>
      </c>
      <c r="V52" s="39" t="s">
        <v>217</v>
      </c>
    </row>
    <row r="53" spans="1:22">
      <c r="A53" s="39" t="s">
        <v>329</v>
      </c>
      <c r="R53" s="40" t="s">
        <v>137</v>
      </c>
      <c r="V53" s="39" t="s">
        <v>218</v>
      </c>
    </row>
    <row r="54" spans="1:22">
      <c r="A54" s="39" t="s">
        <v>330</v>
      </c>
      <c r="R54" s="40" t="s">
        <v>811</v>
      </c>
      <c r="V54" s="39" t="s">
        <v>247</v>
      </c>
    </row>
    <row r="55" spans="1:22">
      <c r="A55" s="39" t="s">
        <v>331</v>
      </c>
      <c r="R55" s="40" t="s">
        <v>812</v>
      </c>
      <c r="V55" s="39" t="s">
        <v>219</v>
      </c>
    </row>
    <row r="56" spans="1:22">
      <c r="A56" s="39" t="s">
        <v>332</v>
      </c>
      <c r="R56" s="40" t="s">
        <v>813</v>
      </c>
      <c r="V56" s="39" t="s">
        <v>220</v>
      </c>
    </row>
    <row r="57" spans="1:22">
      <c r="A57" s="39" t="s">
        <v>333</v>
      </c>
      <c r="R57" s="40" t="s">
        <v>814</v>
      </c>
      <c r="V57" s="39" t="s">
        <v>246</v>
      </c>
    </row>
    <row r="58" spans="1:22">
      <c r="A58" s="39" t="s">
        <v>334</v>
      </c>
      <c r="R58" s="40" t="s">
        <v>815</v>
      </c>
      <c r="V58" s="39" t="s">
        <v>221</v>
      </c>
    </row>
    <row r="59" spans="1:22">
      <c r="A59" s="39" t="s">
        <v>335</v>
      </c>
      <c r="R59" s="40" t="s">
        <v>816</v>
      </c>
      <c r="V59" s="39" t="s">
        <v>257</v>
      </c>
    </row>
    <row r="60" spans="1:22">
      <c r="A60" s="39" t="s">
        <v>336</v>
      </c>
      <c r="R60" s="40" t="s">
        <v>817</v>
      </c>
      <c r="V60" s="39" t="s">
        <v>222</v>
      </c>
    </row>
    <row r="61" spans="1:22">
      <c r="A61" s="39" t="s">
        <v>337</v>
      </c>
      <c r="R61" s="40" t="s">
        <v>818</v>
      </c>
      <c r="V61" s="39" t="s">
        <v>223</v>
      </c>
    </row>
    <row r="62" spans="1:22">
      <c r="A62" s="39" t="s">
        <v>338</v>
      </c>
      <c r="R62" s="40" t="s">
        <v>819</v>
      </c>
      <c r="V62" s="39" t="s">
        <v>248</v>
      </c>
    </row>
    <row r="63" spans="1:22">
      <c r="A63" s="39" t="s">
        <v>339</v>
      </c>
      <c r="R63" s="40" t="s">
        <v>820</v>
      </c>
      <c r="V63" s="39" t="s">
        <v>249</v>
      </c>
    </row>
    <row r="64" spans="1:22">
      <c r="A64" s="39" t="s">
        <v>340</v>
      </c>
      <c r="R64" s="40" t="s">
        <v>821</v>
      </c>
      <c r="V64" s="39" t="s">
        <v>596</v>
      </c>
    </row>
    <row r="65" spans="1:22">
      <c r="A65" s="39" t="s">
        <v>341</v>
      </c>
      <c r="R65" s="40" t="s">
        <v>822</v>
      </c>
      <c r="V65" s="39" t="s">
        <v>224</v>
      </c>
    </row>
    <row r="66" spans="1:22">
      <c r="A66" s="39" t="s">
        <v>342</v>
      </c>
      <c r="R66" s="40" t="s">
        <v>823</v>
      </c>
      <c r="V66" s="39" t="s">
        <v>225</v>
      </c>
    </row>
    <row r="67" spans="1:22">
      <c r="A67" s="39" t="s">
        <v>343</v>
      </c>
      <c r="R67" s="40" t="s">
        <v>824</v>
      </c>
      <c r="V67" s="39" t="s">
        <v>226</v>
      </c>
    </row>
    <row r="68" spans="1:22">
      <c r="A68" s="39" t="s">
        <v>344</v>
      </c>
      <c r="R68" s="40" t="s">
        <v>825</v>
      </c>
      <c r="V68" s="39" t="s">
        <v>227</v>
      </c>
    </row>
    <row r="69" spans="1:22">
      <c r="A69" s="39" t="s">
        <v>345</v>
      </c>
      <c r="R69" s="40" t="s">
        <v>826</v>
      </c>
      <c r="V69" s="39" t="s">
        <v>228</v>
      </c>
    </row>
    <row r="70" spans="1:22">
      <c r="A70" s="39" t="s">
        <v>346</v>
      </c>
      <c r="R70" s="40" t="s">
        <v>827</v>
      </c>
      <c r="V70" s="39" t="s">
        <v>229</v>
      </c>
    </row>
    <row r="71" spans="1:22">
      <c r="A71" s="39" t="s">
        <v>347</v>
      </c>
      <c r="R71" s="40" t="s">
        <v>828</v>
      </c>
      <c r="V71" s="39" t="s">
        <v>230</v>
      </c>
    </row>
    <row r="72" spans="1:22">
      <c r="A72" s="39" t="s">
        <v>348</v>
      </c>
      <c r="R72" s="40" t="s">
        <v>829</v>
      </c>
      <c r="V72" s="39" t="s">
        <v>231</v>
      </c>
    </row>
    <row r="73" spans="1:22">
      <c r="A73" s="39" t="s">
        <v>349</v>
      </c>
      <c r="R73" s="40" t="s">
        <v>830</v>
      </c>
      <c r="V73" s="39" t="s">
        <v>232</v>
      </c>
    </row>
    <row r="74" spans="1:22">
      <c r="A74" s="39" t="s">
        <v>350</v>
      </c>
      <c r="R74" s="40" t="s">
        <v>831</v>
      </c>
      <c r="V74" s="39" t="s">
        <v>233</v>
      </c>
    </row>
    <row r="75" spans="1:22">
      <c r="A75" s="39" t="s">
        <v>351</v>
      </c>
      <c r="R75" s="40" t="s">
        <v>832</v>
      </c>
      <c r="V75" s="39" t="s">
        <v>234</v>
      </c>
    </row>
    <row r="76" spans="1:22">
      <c r="A76" s="39" t="s">
        <v>352</v>
      </c>
      <c r="R76" s="40" t="s">
        <v>833</v>
      </c>
      <c r="V76" s="39" t="s">
        <v>250</v>
      </c>
    </row>
    <row r="77" spans="1:22">
      <c r="A77" s="39" t="s">
        <v>353</v>
      </c>
      <c r="R77" s="40" t="s">
        <v>834</v>
      </c>
      <c r="V77" s="39" t="s">
        <v>251</v>
      </c>
    </row>
    <row r="78" spans="1:22">
      <c r="A78" s="39" t="s">
        <v>354</v>
      </c>
      <c r="R78" s="40" t="s">
        <v>835</v>
      </c>
      <c r="V78" s="39" t="s">
        <v>235</v>
      </c>
    </row>
    <row r="79" spans="1:22">
      <c r="A79" s="39" t="s">
        <v>354</v>
      </c>
      <c r="R79" s="40" t="s">
        <v>836</v>
      </c>
      <c r="V79" s="39" t="s">
        <v>236</v>
      </c>
    </row>
    <row r="80" spans="1:22">
      <c r="A80" s="39" t="s">
        <v>355</v>
      </c>
      <c r="R80" s="40" t="s">
        <v>837</v>
      </c>
      <c r="V80" s="39" t="s">
        <v>237</v>
      </c>
    </row>
    <row r="81" spans="1:22">
      <c r="A81" s="39" t="s">
        <v>356</v>
      </c>
      <c r="R81" s="40" t="s">
        <v>838</v>
      </c>
      <c r="V81" s="39" t="s">
        <v>238</v>
      </c>
    </row>
    <row r="82" spans="1:22">
      <c r="A82" s="39" t="s">
        <v>357</v>
      </c>
      <c r="R82" s="40" t="s">
        <v>839</v>
      </c>
      <c r="V82" s="39" t="s">
        <v>239</v>
      </c>
    </row>
    <row r="83" spans="1:22">
      <c r="A83" s="39" t="s">
        <v>358</v>
      </c>
      <c r="R83" s="40" t="s">
        <v>840</v>
      </c>
      <c r="V83" s="39" t="s">
        <v>252</v>
      </c>
    </row>
    <row r="84" spans="1:22">
      <c r="A84" s="39" t="s">
        <v>359</v>
      </c>
      <c r="R84" s="40" t="s">
        <v>841</v>
      </c>
      <c r="V84" s="39" t="s">
        <v>240</v>
      </c>
    </row>
    <row r="85" spans="1:22">
      <c r="A85" s="39" t="s">
        <v>360</v>
      </c>
      <c r="R85" s="40" t="s">
        <v>842</v>
      </c>
      <c r="V85" s="46" t="s">
        <v>241</v>
      </c>
    </row>
    <row r="86" spans="1:22">
      <c r="A86" s="39" t="s">
        <v>361</v>
      </c>
      <c r="R86" s="40" t="s">
        <v>843</v>
      </c>
    </row>
    <row r="87" spans="1:22">
      <c r="A87" s="39" t="s">
        <v>362</v>
      </c>
      <c r="R87" s="40" t="s">
        <v>844</v>
      </c>
    </row>
    <row r="88" spans="1:22">
      <c r="A88" s="39" t="s">
        <v>363</v>
      </c>
      <c r="R88" s="40" t="s">
        <v>845</v>
      </c>
    </row>
    <row r="89" spans="1:22">
      <c r="A89" s="39" t="s">
        <v>364</v>
      </c>
      <c r="R89" s="40" t="s">
        <v>846</v>
      </c>
    </row>
    <row r="90" spans="1:22">
      <c r="A90" s="39" t="s">
        <v>365</v>
      </c>
      <c r="R90" s="40" t="s">
        <v>126</v>
      </c>
    </row>
    <row r="91" spans="1:22">
      <c r="A91" s="39" t="s">
        <v>366</v>
      </c>
      <c r="R91" s="40" t="s">
        <v>127</v>
      </c>
    </row>
    <row r="92" spans="1:22">
      <c r="A92" s="39" t="s">
        <v>367</v>
      </c>
      <c r="R92" s="40" t="s">
        <v>128</v>
      </c>
    </row>
    <row r="93" spans="1:22">
      <c r="A93" s="39" t="s">
        <v>368</v>
      </c>
      <c r="R93" s="40" t="s">
        <v>129</v>
      </c>
    </row>
    <row r="94" spans="1:22">
      <c r="A94" s="39" t="s">
        <v>369</v>
      </c>
      <c r="R94" s="40" t="s">
        <v>130</v>
      </c>
    </row>
    <row r="95" spans="1:22">
      <c r="A95" s="39" t="s">
        <v>370</v>
      </c>
      <c r="R95" s="40" t="s">
        <v>131</v>
      </c>
    </row>
    <row r="96" spans="1:22">
      <c r="A96" s="39" t="s">
        <v>371</v>
      </c>
      <c r="R96" s="40" t="s">
        <v>132</v>
      </c>
    </row>
    <row r="97" spans="1:18">
      <c r="A97" s="39" t="s">
        <v>372</v>
      </c>
      <c r="R97" s="49" t="s">
        <v>133</v>
      </c>
    </row>
    <row r="98" spans="1:18">
      <c r="A98" s="39" t="s">
        <v>373</v>
      </c>
    </row>
    <row r="99" spans="1:18">
      <c r="A99" s="39" t="s">
        <v>374</v>
      </c>
    </row>
    <row r="100" spans="1:18">
      <c r="A100" s="39" t="s">
        <v>375</v>
      </c>
    </row>
    <row r="101" spans="1:18">
      <c r="A101" s="39" t="s">
        <v>376</v>
      </c>
    </row>
    <row r="102" spans="1:18">
      <c r="A102" s="39" t="s">
        <v>377</v>
      </c>
    </row>
    <row r="103" spans="1:18">
      <c r="A103" s="39" t="s">
        <v>378</v>
      </c>
    </row>
    <row r="104" spans="1:18">
      <c r="A104" s="39" t="s">
        <v>379</v>
      </c>
    </row>
    <row r="105" spans="1:18">
      <c r="A105" s="39" t="s">
        <v>380</v>
      </c>
    </row>
    <row r="106" spans="1:18">
      <c r="A106" s="39" t="s">
        <v>381</v>
      </c>
    </row>
    <row r="107" spans="1:18">
      <c r="A107" s="39" t="s">
        <v>382</v>
      </c>
      <c r="B107" s="54"/>
      <c r="C107" s="54"/>
      <c r="D107" s="54"/>
      <c r="E107" s="54"/>
      <c r="F107" s="54"/>
      <c r="G107" s="54"/>
      <c r="H107" s="54"/>
      <c r="I107" s="54"/>
      <c r="J107" s="54"/>
    </row>
    <row r="108" spans="1:18">
      <c r="A108" s="39" t="s">
        <v>383</v>
      </c>
      <c r="B108" s="54"/>
      <c r="C108" s="54"/>
      <c r="D108" s="54"/>
      <c r="E108" s="54"/>
      <c r="F108" s="54"/>
      <c r="G108" s="54"/>
      <c r="H108" s="54"/>
      <c r="I108" s="54"/>
      <c r="J108" s="54"/>
    </row>
    <row r="109" spans="1:18">
      <c r="A109" s="39" t="s">
        <v>384</v>
      </c>
      <c r="B109" s="54"/>
      <c r="C109" s="54"/>
      <c r="D109" s="54"/>
      <c r="E109" s="54"/>
      <c r="F109" s="54"/>
      <c r="G109" s="54"/>
      <c r="H109" s="54"/>
      <c r="I109" s="54"/>
      <c r="J109" s="54"/>
    </row>
    <row r="110" spans="1:18">
      <c r="A110" s="39" t="s">
        <v>385</v>
      </c>
      <c r="B110" s="54"/>
      <c r="C110" s="54"/>
      <c r="D110" s="54"/>
      <c r="E110" s="54"/>
      <c r="F110" s="54"/>
      <c r="G110" s="54"/>
      <c r="H110" s="54"/>
      <c r="I110" s="54"/>
      <c r="J110" s="54"/>
    </row>
    <row r="111" spans="1:18">
      <c r="A111" s="39" t="s">
        <v>386</v>
      </c>
      <c r="B111" s="54"/>
      <c r="C111" s="54"/>
      <c r="D111" s="54"/>
      <c r="E111" s="54"/>
      <c r="F111" s="54"/>
      <c r="G111" s="54"/>
      <c r="H111" s="54"/>
      <c r="I111" s="54"/>
      <c r="J111" s="54"/>
    </row>
    <row r="112" spans="1:18">
      <c r="A112" s="39" t="s">
        <v>387</v>
      </c>
      <c r="B112" s="54"/>
      <c r="C112" s="54"/>
      <c r="D112" s="54"/>
      <c r="E112" s="54"/>
      <c r="F112" s="54"/>
      <c r="G112" s="54"/>
      <c r="H112" s="54"/>
      <c r="I112" s="54"/>
      <c r="J112" s="54"/>
    </row>
    <row r="113" spans="1:10">
      <c r="A113" s="39" t="s">
        <v>388</v>
      </c>
      <c r="B113" s="54"/>
      <c r="C113" s="54"/>
      <c r="D113" s="54"/>
      <c r="E113" s="54"/>
      <c r="F113" s="54"/>
      <c r="G113" s="54"/>
      <c r="H113" s="54"/>
      <c r="I113" s="54"/>
      <c r="J113" s="54"/>
    </row>
    <row r="114" spans="1:10">
      <c r="A114" s="39" t="s">
        <v>389</v>
      </c>
      <c r="B114" s="54"/>
      <c r="C114" s="54"/>
      <c r="D114" s="54"/>
      <c r="E114" s="54"/>
      <c r="F114" s="54"/>
      <c r="G114" s="54"/>
      <c r="H114" s="54"/>
      <c r="I114" s="54"/>
      <c r="J114" s="54"/>
    </row>
    <row r="115" spans="1:10">
      <c r="A115" s="39" t="s">
        <v>390</v>
      </c>
      <c r="B115" s="54"/>
      <c r="C115" s="54"/>
      <c r="D115" s="54"/>
      <c r="E115" s="54"/>
      <c r="F115" s="54"/>
      <c r="G115" s="54"/>
      <c r="H115" s="54"/>
      <c r="I115" s="54"/>
      <c r="J115" s="54"/>
    </row>
    <row r="116" spans="1:10">
      <c r="A116" s="39" t="s">
        <v>391</v>
      </c>
      <c r="B116" s="54"/>
      <c r="C116" s="54"/>
      <c r="D116" s="54"/>
      <c r="E116" s="54"/>
      <c r="F116" s="54"/>
      <c r="G116" s="54"/>
      <c r="H116" s="54"/>
      <c r="I116" s="54"/>
      <c r="J116" s="54"/>
    </row>
    <row r="117" spans="1:10">
      <c r="A117" s="39" t="s">
        <v>392</v>
      </c>
      <c r="B117" s="54"/>
      <c r="C117" s="54"/>
      <c r="D117" s="54"/>
      <c r="E117" s="54"/>
      <c r="F117" s="54"/>
      <c r="G117" s="54"/>
      <c r="H117" s="54"/>
      <c r="I117" s="54"/>
      <c r="J117" s="54"/>
    </row>
    <row r="118" spans="1:10">
      <c r="A118" s="39" t="s">
        <v>393</v>
      </c>
      <c r="B118" s="54"/>
      <c r="C118" s="54"/>
      <c r="D118" s="54"/>
      <c r="E118" s="54"/>
      <c r="F118" s="54"/>
      <c r="G118" s="54"/>
      <c r="H118" s="54"/>
      <c r="I118" s="54"/>
      <c r="J118" s="54"/>
    </row>
    <row r="119" spans="1:10">
      <c r="A119" s="39" t="s">
        <v>394</v>
      </c>
      <c r="B119" s="54"/>
      <c r="C119" s="54"/>
      <c r="D119" s="54"/>
      <c r="E119" s="54"/>
      <c r="F119" s="54"/>
      <c r="G119" s="54"/>
      <c r="H119" s="54"/>
      <c r="I119" s="54"/>
      <c r="J119" s="54"/>
    </row>
    <row r="120" spans="1:10">
      <c r="A120" s="39" t="s">
        <v>395</v>
      </c>
      <c r="B120" s="54"/>
      <c r="C120" s="54"/>
      <c r="D120" s="54"/>
      <c r="E120" s="54"/>
      <c r="F120" s="54"/>
      <c r="G120" s="54"/>
      <c r="H120" s="54"/>
      <c r="I120" s="54"/>
      <c r="J120" s="54"/>
    </row>
    <row r="121" spans="1:10">
      <c r="A121" s="39" t="s">
        <v>396</v>
      </c>
      <c r="B121" s="54"/>
      <c r="C121" s="54"/>
      <c r="D121" s="54"/>
      <c r="E121" s="54"/>
      <c r="F121" s="54"/>
      <c r="G121" s="54"/>
      <c r="H121" s="54"/>
      <c r="I121" s="54"/>
      <c r="J121" s="54"/>
    </row>
    <row r="122" spans="1:10">
      <c r="A122" s="39" t="s">
        <v>397</v>
      </c>
      <c r="B122" s="54"/>
      <c r="C122" s="54"/>
      <c r="D122" s="54"/>
      <c r="E122" s="54"/>
      <c r="F122" s="54"/>
      <c r="G122" s="54"/>
      <c r="H122" s="54"/>
      <c r="I122" s="54"/>
      <c r="J122" s="54"/>
    </row>
    <row r="123" spans="1:10">
      <c r="A123" s="39" t="s">
        <v>398</v>
      </c>
      <c r="B123" s="54"/>
      <c r="C123" s="54"/>
      <c r="D123" s="54"/>
      <c r="E123" s="54"/>
      <c r="F123" s="54"/>
      <c r="G123" s="54"/>
      <c r="H123" s="54"/>
      <c r="I123" s="54"/>
      <c r="J123" s="54"/>
    </row>
    <row r="124" spans="1:10">
      <c r="A124" s="39" t="s">
        <v>399</v>
      </c>
      <c r="B124" s="54"/>
      <c r="C124" s="54"/>
      <c r="D124" s="54"/>
      <c r="E124" s="54"/>
      <c r="F124" s="54"/>
      <c r="G124" s="54"/>
      <c r="H124" s="54"/>
      <c r="I124" s="54"/>
      <c r="J124" s="54"/>
    </row>
    <row r="125" spans="1:10">
      <c r="A125" s="39" t="s">
        <v>400</v>
      </c>
      <c r="B125" s="54"/>
      <c r="C125" s="54"/>
      <c r="D125" s="54"/>
      <c r="E125" s="54"/>
      <c r="F125" s="54"/>
      <c r="G125" s="54"/>
      <c r="H125" s="54"/>
      <c r="I125" s="54"/>
      <c r="J125" s="54"/>
    </row>
    <row r="126" spans="1:10">
      <c r="A126" s="39" t="s">
        <v>401</v>
      </c>
      <c r="B126" s="54"/>
      <c r="C126" s="54"/>
      <c r="D126" s="54"/>
      <c r="E126" s="54"/>
      <c r="F126" s="54"/>
      <c r="G126" s="54"/>
      <c r="H126" s="54"/>
      <c r="I126" s="54"/>
      <c r="J126" s="54"/>
    </row>
    <row r="127" spans="1:10">
      <c r="A127" s="39" t="s">
        <v>402</v>
      </c>
      <c r="B127" s="54"/>
      <c r="C127" s="54"/>
      <c r="D127" s="54"/>
      <c r="E127" s="54"/>
      <c r="F127" s="54"/>
      <c r="G127" s="54"/>
      <c r="H127" s="54"/>
      <c r="I127" s="54"/>
      <c r="J127" s="54"/>
    </row>
    <row r="128" spans="1:10">
      <c r="A128" s="39" t="s">
        <v>403</v>
      </c>
      <c r="B128" s="54"/>
      <c r="C128" s="54"/>
      <c r="D128" s="54"/>
      <c r="E128" s="54"/>
      <c r="F128" s="54"/>
      <c r="G128" s="54"/>
      <c r="H128" s="54"/>
      <c r="I128" s="54"/>
      <c r="J128" s="54"/>
    </row>
    <row r="129" spans="1:10">
      <c r="A129" s="39" t="s">
        <v>404</v>
      </c>
      <c r="B129" s="54"/>
      <c r="C129" s="54"/>
      <c r="D129" s="54"/>
      <c r="E129" s="54"/>
      <c r="F129" s="54"/>
      <c r="G129" s="54"/>
      <c r="H129" s="54"/>
      <c r="I129" s="54"/>
      <c r="J129" s="54"/>
    </row>
    <row r="130" spans="1:10">
      <c r="A130" s="39" t="s">
        <v>405</v>
      </c>
      <c r="B130" s="54"/>
      <c r="C130" s="54"/>
      <c r="D130" s="54"/>
      <c r="E130" s="54"/>
      <c r="F130" s="54"/>
      <c r="G130" s="54"/>
      <c r="H130" s="54"/>
      <c r="I130" s="54"/>
      <c r="J130" s="54"/>
    </row>
    <row r="131" spans="1:10">
      <c r="A131" s="39" t="s">
        <v>406</v>
      </c>
      <c r="B131" s="54"/>
      <c r="C131" s="54"/>
      <c r="D131" s="54"/>
      <c r="E131" s="54"/>
      <c r="F131" s="54"/>
      <c r="G131" s="54"/>
      <c r="H131" s="54"/>
      <c r="I131" s="54"/>
      <c r="J131" s="54"/>
    </row>
    <row r="132" spans="1:10">
      <c r="A132" s="39" t="s">
        <v>407</v>
      </c>
      <c r="B132" s="54"/>
      <c r="C132" s="54"/>
      <c r="D132" s="54"/>
      <c r="E132" s="54"/>
      <c r="F132" s="54"/>
      <c r="G132" s="54"/>
      <c r="H132" s="54"/>
      <c r="I132" s="54"/>
      <c r="J132" s="54"/>
    </row>
    <row r="133" spans="1:10">
      <c r="A133" s="39" t="s">
        <v>408</v>
      </c>
      <c r="B133" s="54"/>
      <c r="C133" s="54"/>
      <c r="D133" s="54"/>
      <c r="E133" s="54"/>
      <c r="F133" s="54"/>
      <c r="G133" s="54"/>
      <c r="H133" s="54"/>
      <c r="I133" s="54"/>
      <c r="J133" s="54"/>
    </row>
    <row r="134" spans="1:10">
      <c r="A134" s="39" t="s">
        <v>409</v>
      </c>
      <c r="B134" s="54"/>
      <c r="C134" s="54"/>
      <c r="D134" s="54"/>
      <c r="E134" s="54"/>
      <c r="F134" s="54"/>
      <c r="G134" s="54"/>
      <c r="H134" s="54"/>
      <c r="I134" s="54"/>
      <c r="J134" s="54"/>
    </row>
    <row r="135" spans="1:10">
      <c r="A135" s="39" t="s">
        <v>410</v>
      </c>
      <c r="B135" s="54"/>
      <c r="C135" s="54"/>
      <c r="D135" s="54"/>
      <c r="E135" s="54"/>
      <c r="F135" s="54"/>
      <c r="G135" s="54"/>
      <c r="H135" s="54"/>
      <c r="I135" s="54"/>
      <c r="J135" s="54"/>
    </row>
    <row r="136" spans="1:10">
      <c r="A136" s="39" t="s">
        <v>411</v>
      </c>
      <c r="B136" s="54"/>
      <c r="C136" s="54"/>
      <c r="D136" s="54"/>
      <c r="E136" s="54"/>
      <c r="F136" s="54"/>
      <c r="G136" s="54"/>
      <c r="H136" s="54"/>
      <c r="I136" s="54"/>
      <c r="J136" s="54"/>
    </row>
    <row r="137" spans="1:10">
      <c r="A137" s="39" t="s">
        <v>412</v>
      </c>
      <c r="B137" s="54"/>
      <c r="C137" s="54"/>
      <c r="D137" s="54"/>
      <c r="E137" s="54"/>
      <c r="F137" s="54"/>
      <c r="G137" s="54"/>
      <c r="H137" s="54"/>
      <c r="I137" s="54"/>
      <c r="J137" s="54"/>
    </row>
    <row r="138" spans="1:10">
      <c r="A138" s="39" t="s">
        <v>413</v>
      </c>
      <c r="B138" s="54"/>
      <c r="C138" s="54"/>
      <c r="D138" s="54"/>
      <c r="E138" s="54"/>
      <c r="F138" s="54"/>
      <c r="G138" s="54"/>
      <c r="H138" s="54"/>
      <c r="I138" s="54"/>
      <c r="J138" s="54"/>
    </row>
    <row r="139" spans="1:10">
      <c r="A139" s="39" t="s">
        <v>414</v>
      </c>
      <c r="B139" s="54"/>
      <c r="C139" s="54"/>
      <c r="D139" s="54"/>
      <c r="E139" s="54"/>
      <c r="F139" s="54"/>
      <c r="G139" s="54"/>
      <c r="H139" s="54"/>
      <c r="I139" s="54"/>
      <c r="J139" s="54"/>
    </row>
    <row r="140" spans="1:10">
      <c r="A140" s="39" t="s">
        <v>415</v>
      </c>
      <c r="B140" s="54"/>
      <c r="C140" s="54"/>
      <c r="D140" s="54"/>
      <c r="E140" s="54"/>
      <c r="F140" s="54"/>
      <c r="G140" s="54"/>
      <c r="H140" s="54"/>
      <c r="I140" s="54"/>
      <c r="J140" s="54"/>
    </row>
    <row r="141" spans="1:10">
      <c r="A141" s="39" t="s">
        <v>416</v>
      </c>
      <c r="B141" s="54"/>
      <c r="C141" s="54"/>
      <c r="D141" s="54"/>
      <c r="E141" s="54"/>
      <c r="F141" s="54"/>
      <c r="G141" s="54"/>
      <c r="H141" s="54"/>
      <c r="I141" s="54"/>
      <c r="J141" s="54"/>
    </row>
    <row r="142" spans="1:10">
      <c r="A142" s="39" t="s">
        <v>417</v>
      </c>
      <c r="B142" s="54"/>
      <c r="C142" s="54"/>
      <c r="D142" s="54"/>
      <c r="E142" s="54"/>
      <c r="F142" s="54"/>
      <c r="G142" s="54"/>
      <c r="H142" s="54"/>
      <c r="I142" s="54"/>
      <c r="J142" s="54"/>
    </row>
    <row r="143" spans="1:10">
      <c r="A143" s="39" t="s">
        <v>418</v>
      </c>
      <c r="B143" s="54"/>
      <c r="C143" s="54"/>
      <c r="D143" s="54"/>
      <c r="E143" s="54"/>
      <c r="F143" s="54"/>
      <c r="G143" s="54"/>
      <c r="H143" s="54"/>
      <c r="I143" s="54"/>
      <c r="J143" s="54"/>
    </row>
    <row r="144" spans="1:10">
      <c r="A144" s="39" t="s">
        <v>419</v>
      </c>
      <c r="B144" s="54"/>
      <c r="C144" s="54"/>
      <c r="D144" s="54"/>
      <c r="E144" s="54"/>
      <c r="F144" s="54"/>
      <c r="G144" s="54"/>
      <c r="H144" s="54"/>
      <c r="I144" s="54"/>
      <c r="J144" s="54"/>
    </row>
    <row r="145" spans="1:10">
      <c r="A145" s="39" t="s">
        <v>420</v>
      </c>
      <c r="B145" s="54"/>
      <c r="C145" s="54"/>
      <c r="D145" s="54"/>
      <c r="E145" s="54"/>
      <c r="F145" s="54"/>
      <c r="G145" s="54"/>
      <c r="H145" s="54"/>
      <c r="I145" s="54"/>
      <c r="J145" s="54"/>
    </row>
    <row r="146" spans="1:10">
      <c r="A146" s="39" t="s">
        <v>421</v>
      </c>
      <c r="B146" s="54"/>
      <c r="C146" s="54"/>
      <c r="D146" s="54"/>
      <c r="E146" s="54"/>
      <c r="F146" s="54"/>
      <c r="G146" s="54"/>
      <c r="H146" s="54"/>
      <c r="I146" s="54"/>
      <c r="J146" s="54"/>
    </row>
    <row r="147" spans="1:10">
      <c r="A147" s="39" t="s">
        <v>422</v>
      </c>
      <c r="B147" s="54"/>
      <c r="C147" s="54"/>
      <c r="D147" s="54"/>
      <c r="E147" s="54"/>
      <c r="F147" s="54"/>
      <c r="G147" s="54"/>
      <c r="H147" s="54"/>
      <c r="I147" s="54"/>
      <c r="J147" s="54"/>
    </row>
    <row r="148" spans="1:10">
      <c r="A148" s="39" t="s">
        <v>423</v>
      </c>
      <c r="B148" s="54"/>
      <c r="C148" s="54"/>
      <c r="D148" s="54"/>
      <c r="E148" s="54"/>
      <c r="F148" s="54"/>
      <c r="G148" s="54"/>
      <c r="H148" s="54"/>
      <c r="I148" s="54"/>
      <c r="J148" s="54"/>
    </row>
    <row r="149" spans="1:10">
      <c r="A149" s="39" t="s">
        <v>424</v>
      </c>
      <c r="B149" s="54"/>
      <c r="C149" s="54"/>
      <c r="D149" s="54"/>
      <c r="E149" s="54"/>
      <c r="F149" s="54"/>
      <c r="G149" s="54"/>
      <c r="H149" s="54"/>
      <c r="I149" s="54"/>
      <c r="J149" s="54"/>
    </row>
    <row r="150" spans="1:10">
      <c r="A150" s="39" t="s">
        <v>425</v>
      </c>
      <c r="B150" s="54"/>
      <c r="C150" s="54"/>
      <c r="D150" s="54"/>
      <c r="E150" s="54"/>
      <c r="F150" s="54"/>
      <c r="G150" s="54"/>
      <c r="H150" s="54"/>
      <c r="I150" s="54"/>
      <c r="J150" s="54"/>
    </row>
    <row r="151" spans="1:10">
      <c r="A151" s="39" t="s">
        <v>426</v>
      </c>
      <c r="B151" s="54"/>
      <c r="C151" s="54"/>
      <c r="D151" s="54"/>
      <c r="E151" s="54"/>
      <c r="F151" s="54"/>
      <c r="G151" s="54"/>
      <c r="H151" s="54"/>
      <c r="I151" s="54"/>
      <c r="J151" s="54"/>
    </row>
    <row r="152" spans="1:10">
      <c r="A152" s="39" t="s">
        <v>427</v>
      </c>
      <c r="B152" s="54"/>
      <c r="C152" s="54"/>
      <c r="D152" s="54"/>
      <c r="E152" s="54"/>
      <c r="F152" s="54"/>
      <c r="G152" s="54"/>
      <c r="H152" s="54"/>
      <c r="I152" s="54"/>
      <c r="J152" s="54"/>
    </row>
    <row r="153" spans="1:10">
      <c r="A153" s="39" t="s">
        <v>428</v>
      </c>
      <c r="B153" s="54"/>
      <c r="C153" s="54"/>
      <c r="D153" s="54"/>
      <c r="E153" s="54"/>
      <c r="F153" s="54"/>
      <c r="G153" s="54"/>
      <c r="H153" s="54"/>
      <c r="I153" s="54"/>
      <c r="J153" s="54"/>
    </row>
    <row r="154" spans="1:10">
      <c r="A154" s="39" t="s">
        <v>429</v>
      </c>
      <c r="B154" s="54"/>
      <c r="C154" s="54"/>
      <c r="D154" s="54"/>
      <c r="E154" s="54"/>
      <c r="F154" s="54"/>
      <c r="G154" s="54"/>
      <c r="H154" s="54"/>
      <c r="I154" s="54"/>
      <c r="J154" s="54"/>
    </row>
    <row r="155" spans="1:10">
      <c r="A155" s="39" t="s">
        <v>430</v>
      </c>
      <c r="B155" s="54"/>
      <c r="C155" s="54"/>
      <c r="D155" s="54"/>
      <c r="E155" s="54"/>
      <c r="F155" s="54"/>
      <c r="G155" s="54"/>
      <c r="H155" s="54"/>
      <c r="I155" s="54"/>
      <c r="J155" s="54"/>
    </row>
    <row r="156" spans="1:10">
      <c r="A156" s="39" t="s">
        <v>431</v>
      </c>
      <c r="B156" s="54"/>
      <c r="C156" s="54"/>
      <c r="D156" s="54"/>
      <c r="E156" s="54"/>
      <c r="F156" s="54"/>
      <c r="G156" s="54"/>
      <c r="H156" s="54"/>
      <c r="I156" s="54"/>
      <c r="J156" s="54"/>
    </row>
    <row r="157" spans="1:10">
      <c r="A157" s="39" t="s">
        <v>432</v>
      </c>
      <c r="B157" s="54"/>
      <c r="C157" s="54"/>
      <c r="D157" s="54"/>
      <c r="E157" s="54"/>
      <c r="F157" s="54"/>
      <c r="G157" s="54"/>
      <c r="H157" s="54"/>
      <c r="I157" s="54"/>
      <c r="J157" s="54"/>
    </row>
    <row r="158" spans="1:10">
      <c r="A158" s="39" t="s">
        <v>433</v>
      </c>
      <c r="B158" s="54"/>
      <c r="C158" s="54"/>
      <c r="D158" s="54"/>
      <c r="E158" s="54"/>
      <c r="F158" s="54"/>
      <c r="G158" s="54"/>
      <c r="H158" s="54"/>
      <c r="I158" s="54"/>
      <c r="J158" s="54"/>
    </row>
    <row r="159" spans="1:10">
      <c r="A159" s="39" t="s">
        <v>434</v>
      </c>
      <c r="B159" s="54"/>
      <c r="C159" s="54"/>
      <c r="D159" s="54"/>
      <c r="E159" s="54"/>
      <c r="F159" s="54"/>
      <c r="G159" s="54"/>
      <c r="H159" s="54"/>
      <c r="I159" s="54"/>
      <c r="J159" s="54"/>
    </row>
    <row r="160" spans="1:10">
      <c r="A160" s="39" t="s">
        <v>435</v>
      </c>
      <c r="B160" s="54"/>
      <c r="C160" s="54"/>
      <c r="D160" s="54"/>
      <c r="E160" s="54"/>
      <c r="F160" s="54"/>
      <c r="G160" s="54"/>
      <c r="H160" s="54"/>
      <c r="I160" s="54"/>
      <c r="J160" s="54"/>
    </row>
    <row r="161" spans="1:10">
      <c r="A161" s="39" t="s">
        <v>436</v>
      </c>
      <c r="B161" s="54"/>
      <c r="C161" s="54"/>
      <c r="D161" s="54"/>
      <c r="E161" s="54"/>
      <c r="F161" s="54"/>
      <c r="G161" s="54"/>
      <c r="H161" s="54"/>
      <c r="I161" s="54"/>
      <c r="J161" s="54"/>
    </row>
    <row r="162" spans="1:10">
      <c r="A162" s="39" t="s">
        <v>437</v>
      </c>
      <c r="B162" s="54"/>
      <c r="C162" s="54"/>
      <c r="D162" s="54"/>
      <c r="E162" s="54"/>
      <c r="F162" s="54"/>
      <c r="G162" s="54"/>
      <c r="H162" s="54"/>
      <c r="I162" s="54"/>
      <c r="J162" s="54"/>
    </row>
    <row r="163" spans="1:10">
      <c r="A163" s="39" t="s">
        <v>438</v>
      </c>
      <c r="B163" s="54"/>
      <c r="C163" s="54"/>
      <c r="D163" s="54"/>
      <c r="E163" s="54"/>
      <c r="F163" s="54"/>
      <c r="G163" s="54"/>
      <c r="H163" s="54"/>
      <c r="I163" s="54"/>
      <c r="J163" s="54"/>
    </row>
    <row r="164" spans="1:10">
      <c r="A164" s="39" t="s">
        <v>439</v>
      </c>
      <c r="B164" s="54"/>
      <c r="C164" s="54"/>
      <c r="D164" s="54"/>
      <c r="E164" s="54"/>
      <c r="F164" s="54"/>
      <c r="G164" s="54"/>
      <c r="H164" s="54"/>
      <c r="I164" s="54"/>
      <c r="J164" s="54"/>
    </row>
    <row r="165" spans="1:10">
      <c r="A165" s="39" t="s">
        <v>440</v>
      </c>
      <c r="B165" s="54"/>
      <c r="C165" s="54"/>
      <c r="D165" s="54"/>
      <c r="E165" s="54"/>
      <c r="F165" s="54"/>
      <c r="G165" s="54"/>
      <c r="H165" s="54"/>
      <c r="I165" s="54"/>
      <c r="J165" s="54"/>
    </row>
    <row r="166" spans="1:10">
      <c r="A166" s="39" t="s">
        <v>441</v>
      </c>
      <c r="B166" s="54"/>
      <c r="C166" s="54"/>
      <c r="D166" s="54"/>
      <c r="E166" s="54"/>
      <c r="F166" s="54"/>
      <c r="G166" s="54"/>
      <c r="H166" s="54"/>
      <c r="I166" s="54"/>
      <c r="J166" s="54"/>
    </row>
    <row r="167" spans="1:10">
      <c r="A167" s="39" t="s">
        <v>442</v>
      </c>
      <c r="B167" s="54"/>
      <c r="C167" s="54"/>
      <c r="D167" s="54"/>
      <c r="E167" s="54"/>
      <c r="F167" s="54"/>
      <c r="G167" s="54"/>
      <c r="H167" s="54"/>
      <c r="I167" s="54"/>
      <c r="J167" s="54"/>
    </row>
    <row r="168" spans="1:10">
      <c r="A168" s="39" t="s">
        <v>443</v>
      </c>
      <c r="B168" s="54"/>
      <c r="C168" s="54"/>
      <c r="D168" s="54"/>
      <c r="E168" s="54"/>
      <c r="F168" s="54"/>
      <c r="G168" s="54"/>
      <c r="H168" s="54"/>
      <c r="I168" s="54"/>
      <c r="J168" s="54"/>
    </row>
    <row r="169" spans="1:10">
      <c r="A169" s="39" t="s">
        <v>444</v>
      </c>
      <c r="B169" s="54"/>
      <c r="C169" s="54"/>
      <c r="D169" s="54"/>
      <c r="E169" s="54"/>
      <c r="F169" s="54"/>
      <c r="G169" s="54"/>
      <c r="H169" s="54"/>
      <c r="I169" s="54"/>
      <c r="J169" s="54"/>
    </row>
    <row r="170" spans="1:10">
      <c r="A170" s="39" t="s">
        <v>445</v>
      </c>
      <c r="B170" s="54"/>
      <c r="C170" s="54"/>
      <c r="D170" s="54"/>
      <c r="E170" s="54"/>
      <c r="F170" s="54"/>
      <c r="G170" s="54"/>
      <c r="H170" s="54"/>
      <c r="I170" s="54"/>
      <c r="J170" s="54"/>
    </row>
    <row r="171" spans="1:10">
      <c r="A171" s="39" t="s">
        <v>446</v>
      </c>
      <c r="B171" s="54"/>
      <c r="C171" s="54"/>
      <c r="D171" s="54"/>
      <c r="E171" s="54"/>
      <c r="F171" s="54"/>
      <c r="G171" s="54"/>
      <c r="H171" s="54"/>
      <c r="I171" s="54"/>
      <c r="J171" s="54"/>
    </row>
    <row r="172" spans="1:10">
      <c r="A172" s="39" t="s">
        <v>447</v>
      </c>
      <c r="B172" s="54"/>
      <c r="C172" s="54"/>
      <c r="D172" s="54"/>
      <c r="E172" s="54"/>
      <c r="F172" s="54"/>
      <c r="G172" s="54"/>
      <c r="H172" s="54"/>
      <c r="I172" s="54"/>
      <c r="J172" s="54"/>
    </row>
    <row r="173" spans="1:10">
      <c r="A173" s="39" t="s">
        <v>448</v>
      </c>
      <c r="B173" s="54"/>
      <c r="C173" s="54"/>
      <c r="D173" s="54"/>
      <c r="E173" s="54"/>
      <c r="F173" s="54"/>
      <c r="G173" s="54"/>
      <c r="H173" s="54"/>
      <c r="I173" s="54"/>
      <c r="J173" s="54"/>
    </row>
    <row r="174" spans="1:10">
      <c r="A174" s="39" t="s">
        <v>449</v>
      </c>
      <c r="B174" s="54"/>
      <c r="C174" s="54"/>
      <c r="D174" s="54"/>
      <c r="E174" s="54"/>
      <c r="F174" s="54"/>
      <c r="G174" s="54"/>
      <c r="H174" s="54"/>
      <c r="I174" s="54"/>
      <c r="J174" s="54"/>
    </row>
    <row r="175" spans="1:10">
      <c r="A175" s="39" t="s">
        <v>450</v>
      </c>
      <c r="B175" s="54"/>
      <c r="C175" s="54"/>
      <c r="D175" s="54"/>
      <c r="E175" s="54"/>
      <c r="F175" s="54"/>
      <c r="G175" s="54"/>
      <c r="H175" s="54"/>
      <c r="I175" s="54"/>
      <c r="J175" s="54"/>
    </row>
    <row r="176" spans="1:10">
      <c r="A176" s="39" t="s">
        <v>451</v>
      </c>
      <c r="B176" s="54"/>
      <c r="C176" s="54"/>
      <c r="D176" s="54"/>
      <c r="E176" s="54"/>
      <c r="F176" s="54"/>
      <c r="G176" s="54"/>
      <c r="H176" s="54"/>
      <c r="I176" s="54"/>
      <c r="J176" s="54"/>
    </row>
    <row r="177" spans="1:10">
      <c r="A177" s="39" t="s">
        <v>452</v>
      </c>
      <c r="B177" s="54"/>
      <c r="C177" s="54"/>
      <c r="D177" s="54"/>
      <c r="E177" s="54"/>
      <c r="F177" s="54"/>
      <c r="G177" s="54"/>
      <c r="H177" s="54"/>
      <c r="I177" s="54"/>
      <c r="J177" s="54"/>
    </row>
    <row r="178" spans="1:10">
      <c r="A178" s="39" t="s">
        <v>453</v>
      </c>
      <c r="B178" s="54"/>
      <c r="C178" s="54"/>
      <c r="D178" s="54"/>
      <c r="E178" s="54"/>
      <c r="F178" s="54"/>
      <c r="G178" s="54"/>
      <c r="H178" s="54"/>
      <c r="I178" s="54"/>
      <c r="J178" s="54"/>
    </row>
    <row r="179" spans="1:10">
      <c r="A179" s="39" t="s">
        <v>454</v>
      </c>
      <c r="B179" s="54"/>
      <c r="C179" s="54"/>
      <c r="D179" s="54"/>
      <c r="E179" s="54"/>
      <c r="F179" s="54"/>
      <c r="G179" s="54"/>
      <c r="H179" s="54"/>
      <c r="I179" s="54"/>
      <c r="J179" s="54"/>
    </row>
    <row r="180" spans="1:10">
      <c r="A180" s="39" t="s">
        <v>455</v>
      </c>
      <c r="B180" s="54"/>
      <c r="C180" s="54"/>
      <c r="D180" s="54"/>
      <c r="E180" s="54"/>
      <c r="F180" s="54"/>
      <c r="G180" s="54"/>
      <c r="H180" s="54"/>
      <c r="I180" s="54"/>
      <c r="J180" s="54"/>
    </row>
    <row r="181" spans="1:10">
      <c r="A181" s="39" t="s">
        <v>456</v>
      </c>
      <c r="B181" s="54"/>
      <c r="C181" s="54"/>
      <c r="D181" s="54"/>
      <c r="E181" s="54"/>
      <c r="F181" s="54"/>
      <c r="G181" s="54"/>
      <c r="H181" s="54"/>
      <c r="I181" s="54"/>
      <c r="J181" s="54"/>
    </row>
    <row r="182" spans="1:10">
      <c r="A182" s="39" t="s">
        <v>457</v>
      </c>
      <c r="B182" s="54"/>
      <c r="C182" s="54"/>
      <c r="D182" s="54"/>
      <c r="E182" s="54"/>
      <c r="F182" s="54"/>
      <c r="G182" s="54"/>
      <c r="H182" s="54"/>
      <c r="I182" s="54"/>
      <c r="J182" s="54"/>
    </row>
    <row r="183" spans="1:10">
      <c r="A183" s="39" t="s">
        <v>458</v>
      </c>
      <c r="B183" s="54"/>
      <c r="C183" s="54"/>
      <c r="D183" s="54"/>
      <c r="E183" s="54"/>
      <c r="F183" s="54"/>
      <c r="G183" s="54"/>
      <c r="H183" s="54"/>
      <c r="I183" s="54"/>
      <c r="J183" s="54"/>
    </row>
    <row r="184" spans="1:10">
      <c r="A184" s="39" t="s">
        <v>459</v>
      </c>
      <c r="B184" s="54"/>
      <c r="C184" s="54"/>
      <c r="D184" s="54"/>
      <c r="E184" s="54"/>
      <c r="F184" s="54"/>
      <c r="G184" s="54"/>
      <c r="H184" s="54"/>
      <c r="I184" s="54"/>
      <c r="J184" s="54"/>
    </row>
    <row r="185" spans="1:10">
      <c r="A185" s="39" t="s">
        <v>460</v>
      </c>
      <c r="B185" s="54"/>
      <c r="C185" s="54"/>
      <c r="D185" s="54"/>
      <c r="E185" s="54"/>
      <c r="F185" s="54"/>
      <c r="G185" s="54"/>
      <c r="H185" s="54"/>
      <c r="I185" s="54"/>
      <c r="J185" s="54"/>
    </row>
    <row r="186" spans="1:10">
      <c r="A186" s="39" t="s">
        <v>461</v>
      </c>
      <c r="B186" s="54"/>
      <c r="C186" s="54"/>
      <c r="D186" s="54"/>
      <c r="E186" s="54"/>
      <c r="F186" s="54"/>
      <c r="G186" s="54"/>
      <c r="H186" s="54"/>
      <c r="I186" s="54"/>
      <c r="J186" s="54"/>
    </row>
    <row r="187" spans="1:10">
      <c r="A187" s="39" t="s">
        <v>462</v>
      </c>
      <c r="B187" s="54"/>
      <c r="C187" s="54"/>
      <c r="D187" s="54"/>
      <c r="E187" s="54"/>
      <c r="F187" s="54"/>
      <c r="G187" s="54"/>
      <c r="H187" s="54"/>
      <c r="I187" s="54"/>
      <c r="J187" s="54"/>
    </row>
    <row r="188" spans="1:10">
      <c r="A188" s="39" t="s">
        <v>463</v>
      </c>
      <c r="B188" s="54"/>
      <c r="C188" s="54"/>
      <c r="D188" s="54"/>
      <c r="E188" s="54"/>
      <c r="F188" s="54"/>
      <c r="G188" s="54"/>
      <c r="H188" s="54"/>
      <c r="I188" s="54"/>
      <c r="J188" s="54"/>
    </row>
    <row r="189" spans="1:10">
      <c r="A189" s="39" t="s">
        <v>464</v>
      </c>
      <c r="B189" s="54"/>
      <c r="C189" s="54"/>
      <c r="D189" s="54"/>
      <c r="E189" s="54"/>
      <c r="F189" s="54"/>
      <c r="G189" s="54"/>
      <c r="H189" s="54"/>
      <c r="I189" s="54"/>
      <c r="J189" s="54"/>
    </row>
    <row r="190" spans="1:10">
      <c r="A190" s="39" t="s">
        <v>465</v>
      </c>
      <c r="B190" s="54"/>
      <c r="C190" s="54"/>
      <c r="D190" s="54"/>
      <c r="E190" s="54"/>
      <c r="F190" s="54"/>
      <c r="G190" s="54"/>
      <c r="H190" s="54"/>
      <c r="I190" s="54"/>
      <c r="J190" s="54"/>
    </row>
    <row r="191" spans="1:10">
      <c r="A191" s="39" t="s">
        <v>466</v>
      </c>
      <c r="B191" s="54"/>
      <c r="C191" s="54"/>
      <c r="D191" s="54"/>
      <c r="E191" s="54"/>
      <c r="F191" s="54"/>
      <c r="G191" s="54"/>
      <c r="H191" s="54"/>
      <c r="I191" s="54"/>
      <c r="J191" s="54"/>
    </row>
    <row r="192" spans="1:10">
      <c r="A192" s="39" t="s">
        <v>467</v>
      </c>
      <c r="B192" s="54"/>
      <c r="C192" s="54"/>
      <c r="D192" s="54"/>
      <c r="E192" s="54"/>
      <c r="F192" s="54"/>
      <c r="G192" s="54"/>
      <c r="H192" s="54"/>
      <c r="I192" s="54"/>
      <c r="J192" s="54"/>
    </row>
    <row r="193" spans="1:10">
      <c r="A193" s="39" t="s">
        <v>468</v>
      </c>
      <c r="B193" s="54"/>
      <c r="C193" s="54"/>
      <c r="D193" s="54"/>
      <c r="E193" s="54"/>
      <c r="F193" s="54"/>
      <c r="G193" s="54"/>
      <c r="H193" s="54"/>
      <c r="I193" s="54"/>
      <c r="J193" s="54"/>
    </row>
    <row r="194" spans="1:10">
      <c r="A194" s="39" t="s">
        <v>469</v>
      </c>
      <c r="B194" s="54"/>
      <c r="C194" s="54"/>
      <c r="D194" s="54"/>
      <c r="E194" s="54"/>
      <c r="F194" s="54"/>
      <c r="G194" s="54"/>
      <c r="H194" s="54"/>
      <c r="I194" s="54"/>
      <c r="J194" s="54"/>
    </row>
    <row r="195" spans="1:10">
      <c r="A195" s="39" t="s">
        <v>470</v>
      </c>
      <c r="B195" s="54"/>
      <c r="C195" s="54"/>
      <c r="D195" s="54"/>
      <c r="E195" s="54"/>
      <c r="F195" s="54"/>
      <c r="G195" s="54"/>
      <c r="H195" s="54"/>
      <c r="I195" s="54"/>
      <c r="J195" s="54"/>
    </row>
    <row r="196" spans="1:10">
      <c r="A196" s="39" t="s">
        <v>471</v>
      </c>
      <c r="B196" s="54"/>
      <c r="C196" s="54"/>
      <c r="D196" s="54"/>
      <c r="E196" s="54"/>
      <c r="F196" s="54"/>
      <c r="G196" s="54"/>
      <c r="H196" s="54"/>
      <c r="I196" s="54"/>
      <c r="J196" s="54"/>
    </row>
    <row r="197" spans="1:10">
      <c r="A197" s="39" t="s">
        <v>472</v>
      </c>
      <c r="B197" s="54"/>
      <c r="C197" s="54"/>
      <c r="D197" s="54"/>
      <c r="E197" s="54"/>
      <c r="F197" s="54"/>
      <c r="G197" s="54"/>
      <c r="H197" s="54"/>
      <c r="I197" s="54"/>
      <c r="J197" s="54"/>
    </row>
    <row r="198" spans="1:10">
      <c r="A198" s="39" t="s">
        <v>473</v>
      </c>
      <c r="B198" s="54"/>
      <c r="C198" s="54"/>
      <c r="D198" s="54"/>
      <c r="E198" s="54"/>
      <c r="F198" s="54"/>
      <c r="G198" s="54"/>
      <c r="H198" s="54"/>
      <c r="I198" s="54"/>
      <c r="J198" s="54"/>
    </row>
    <row r="199" spans="1:10">
      <c r="A199" s="39" t="s">
        <v>474</v>
      </c>
      <c r="B199" s="54"/>
      <c r="C199" s="54"/>
      <c r="D199" s="54"/>
      <c r="E199" s="54"/>
      <c r="F199" s="54"/>
      <c r="G199" s="54"/>
      <c r="H199" s="54"/>
      <c r="I199" s="54"/>
      <c r="J199" s="54"/>
    </row>
    <row r="200" spans="1:10">
      <c r="A200" s="39" t="s">
        <v>475</v>
      </c>
      <c r="B200" s="54"/>
      <c r="C200" s="54"/>
      <c r="D200" s="54"/>
      <c r="E200" s="54"/>
      <c r="F200" s="54"/>
      <c r="G200" s="54"/>
      <c r="H200" s="54"/>
      <c r="I200" s="54"/>
      <c r="J200" s="54"/>
    </row>
    <row r="201" spans="1:10">
      <c r="A201" s="39" t="s">
        <v>476</v>
      </c>
      <c r="B201" s="54"/>
      <c r="C201" s="54"/>
      <c r="D201" s="54"/>
      <c r="E201" s="54"/>
      <c r="F201" s="54"/>
      <c r="G201" s="54"/>
      <c r="H201" s="54"/>
      <c r="I201" s="54"/>
      <c r="J201" s="54"/>
    </row>
    <row r="202" spans="1:10">
      <c r="A202" s="39" t="s">
        <v>477</v>
      </c>
      <c r="B202" s="54"/>
      <c r="C202" s="54"/>
      <c r="D202" s="54"/>
      <c r="E202" s="54"/>
      <c r="F202" s="54"/>
      <c r="G202" s="54"/>
      <c r="H202" s="54"/>
      <c r="I202" s="54"/>
      <c r="J202" s="54"/>
    </row>
    <row r="203" spans="1:10">
      <c r="A203" s="39" t="s">
        <v>478</v>
      </c>
      <c r="B203" s="54"/>
      <c r="C203" s="54"/>
      <c r="D203" s="54"/>
      <c r="E203" s="54"/>
      <c r="F203" s="54"/>
      <c r="G203" s="54"/>
      <c r="H203" s="54"/>
      <c r="I203" s="54"/>
      <c r="J203" s="54"/>
    </row>
    <row r="204" spans="1:10">
      <c r="A204" s="39" t="s">
        <v>479</v>
      </c>
      <c r="B204" s="54"/>
      <c r="C204" s="54"/>
      <c r="D204" s="54"/>
      <c r="E204" s="54"/>
      <c r="F204" s="54"/>
      <c r="G204" s="54"/>
      <c r="H204" s="54"/>
      <c r="I204" s="54"/>
      <c r="J204" s="54"/>
    </row>
    <row r="205" spans="1:10">
      <c r="A205" s="39" t="s">
        <v>480</v>
      </c>
      <c r="B205" s="54"/>
      <c r="C205" s="54"/>
      <c r="D205" s="54"/>
      <c r="E205" s="54"/>
      <c r="F205" s="54"/>
      <c r="G205" s="54"/>
      <c r="H205" s="54"/>
      <c r="I205" s="54"/>
      <c r="J205" s="54"/>
    </row>
    <row r="206" spans="1:10">
      <c r="A206" s="39" t="s">
        <v>481</v>
      </c>
      <c r="B206" s="54"/>
      <c r="C206" s="54"/>
      <c r="D206" s="54"/>
      <c r="E206" s="54"/>
      <c r="F206" s="54"/>
      <c r="G206" s="54"/>
      <c r="H206" s="54"/>
      <c r="I206" s="54"/>
      <c r="J206" s="54"/>
    </row>
    <row r="207" spans="1:10">
      <c r="A207" s="39" t="s">
        <v>482</v>
      </c>
      <c r="B207" s="54"/>
      <c r="C207" s="54"/>
      <c r="D207" s="54"/>
      <c r="E207" s="54"/>
      <c r="F207" s="54"/>
      <c r="G207" s="54"/>
      <c r="H207" s="54"/>
      <c r="I207" s="54"/>
      <c r="J207" s="54"/>
    </row>
    <row r="208" spans="1:10">
      <c r="A208" s="39" t="s">
        <v>483</v>
      </c>
      <c r="B208" s="54"/>
      <c r="C208" s="54"/>
      <c r="D208" s="54"/>
      <c r="E208" s="54"/>
      <c r="F208" s="54"/>
      <c r="G208" s="54"/>
      <c r="H208" s="54"/>
      <c r="I208" s="54"/>
      <c r="J208" s="54"/>
    </row>
    <row r="209" spans="1:10">
      <c r="A209" s="39" t="s">
        <v>484</v>
      </c>
      <c r="B209" s="54"/>
      <c r="C209" s="54"/>
      <c r="D209" s="54"/>
      <c r="E209" s="54"/>
      <c r="F209" s="54"/>
      <c r="G209" s="54"/>
      <c r="H209" s="54"/>
      <c r="I209" s="54"/>
      <c r="J209" s="54"/>
    </row>
    <row r="210" spans="1:10">
      <c r="A210" s="39" t="s">
        <v>485</v>
      </c>
      <c r="B210" s="54"/>
      <c r="C210" s="54"/>
      <c r="D210" s="54"/>
      <c r="E210" s="54"/>
      <c r="F210" s="54"/>
      <c r="G210" s="54"/>
      <c r="H210" s="54"/>
      <c r="I210" s="54"/>
      <c r="J210" s="54"/>
    </row>
    <row r="211" spans="1:10">
      <c r="A211" s="39" t="s">
        <v>486</v>
      </c>
      <c r="B211" s="54"/>
      <c r="C211" s="54"/>
      <c r="D211" s="54"/>
      <c r="E211" s="54"/>
      <c r="F211" s="54"/>
      <c r="G211" s="54"/>
      <c r="H211" s="54"/>
      <c r="I211" s="54"/>
      <c r="J211" s="54"/>
    </row>
    <row r="212" spans="1:10">
      <c r="A212" s="39" t="s">
        <v>487</v>
      </c>
      <c r="B212" s="54"/>
      <c r="C212" s="54"/>
      <c r="D212" s="54"/>
      <c r="E212" s="54"/>
      <c r="F212" s="54"/>
      <c r="G212" s="54"/>
      <c r="H212" s="54"/>
      <c r="I212" s="54"/>
      <c r="J212" s="54"/>
    </row>
    <row r="213" spans="1:10">
      <c r="A213" s="39" t="s">
        <v>488</v>
      </c>
      <c r="B213" s="54"/>
      <c r="C213" s="54"/>
      <c r="D213" s="54"/>
      <c r="E213" s="54"/>
      <c r="F213" s="54"/>
      <c r="G213" s="54"/>
      <c r="H213" s="54"/>
      <c r="I213" s="54"/>
      <c r="J213" s="54"/>
    </row>
    <row r="214" spans="1:10">
      <c r="A214" s="39" t="s">
        <v>489</v>
      </c>
      <c r="B214" s="54"/>
      <c r="C214" s="54"/>
      <c r="D214" s="54"/>
      <c r="E214" s="54"/>
      <c r="F214" s="54"/>
      <c r="G214" s="54"/>
      <c r="H214" s="54"/>
      <c r="I214" s="54"/>
      <c r="J214" s="54"/>
    </row>
    <row r="215" spans="1:10">
      <c r="A215" s="39" t="s">
        <v>490</v>
      </c>
      <c r="B215" s="54"/>
      <c r="C215" s="54"/>
      <c r="D215" s="54"/>
      <c r="E215" s="54"/>
      <c r="F215" s="54"/>
      <c r="G215" s="54"/>
      <c r="H215" s="54"/>
      <c r="I215" s="54"/>
      <c r="J215" s="54"/>
    </row>
    <row r="216" spans="1:10">
      <c r="A216" s="39" t="s">
        <v>491</v>
      </c>
      <c r="B216" s="54"/>
      <c r="C216" s="54"/>
      <c r="D216" s="54"/>
      <c r="E216" s="54"/>
      <c r="F216" s="54"/>
      <c r="G216" s="54"/>
      <c r="H216" s="54"/>
      <c r="I216" s="54"/>
      <c r="J216" s="54"/>
    </row>
    <row r="217" spans="1:10">
      <c r="A217" s="39" t="s">
        <v>492</v>
      </c>
      <c r="B217" s="54"/>
      <c r="C217" s="54"/>
      <c r="D217" s="54"/>
      <c r="E217" s="54"/>
      <c r="F217" s="54"/>
      <c r="G217" s="54"/>
      <c r="H217" s="54"/>
      <c r="I217" s="54"/>
      <c r="J217" s="54"/>
    </row>
    <row r="218" spans="1:10">
      <c r="A218" s="39" t="s">
        <v>493</v>
      </c>
      <c r="B218" s="54"/>
      <c r="C218" s="54"/>
      <c r="D218" s="54"/>
      <c r="E218" s="54"/>
      <c r="F218" s="54"/>
      <c r="G218" s="54"/>
      <c r="H218" s="54"/>
      <c r="I218" s="54"/>
      <c r="J218" s="54"/>
    </row>
    <row r="219" spans="1:10">
      <c r="A219" s="39" t="s">
        <v>494</v>
      </c>
      <c r="B219" s="54"/>
      <c r="C219" s="54"/>
      <c r="D219" s="54"/>
      <c r="E219" s="54"/>
      <c r="F219" s="54"/>
      <c r="G219" s="54"/>
      <c r="H219" s="54"/>
      <c r="I219" s="54"/>
      <c r="J219" s="54"/>
    </row>
    <row r="220" spans="1:10">
      <c r="A220" s="39" t="s">
        <v>495</v>
      </c>
      <c r="B220" s="54"/>
      <c r="C220" s="54"/>
      <c r="D220" s="54"/>
      <c r="E220" s="54"/>
      <c r="F220" s="54"/>
      <c r="G220" s="54"/>
      <c r="H220" s="54"/>
      <c r="I220" s="54"/>
      <c r="J220" s="54"/>
    </row>
    <row r="221" spans="1:10">
      <c r="A221" s="39" t="s">
        <v>496</v>
      </c>
      <c r="B221" s="54"/>
      <c r="C221" s="54"/>
      <c r="D221" s="54"/>
      <c r="E221" s="54"/>
      <c r="F221" s="54"/>
      <c r="G221" s="54"/>
      <c r="H221" s="54"/>
      <c r="I221" s="54"/>
      <c r="J221" s="54"/>
    </row>
    <row r="222" spans="1:10">
      <c r="A222" s="39" t="s">
        <v>497</v>
      </c>
      <c r="B222" s="54"/>
      <c r="C222" s="54"/>
      <c r="D222" s="54"/>
      <c r="E222" s="54"/>
      <c r="F222" s="54"/>
      <c r="G222" s="54"/>
      <c r="H222" s="54"/>
      <c r="I222" s="54"/>
      <c r="J222" s="54"/>
    </row>
    <row r="223" spans="1:10">
      <c r="A223" s="39" t="s">
        <v>498</v>
      </c>
      <c r="B223" s="54"/>
      <c r="C223" s="54"/>
      <c r="D223" s="54"/>
      <c r="E223" s="54"/>
      <c r="F223" s="54"/>
      <c r="G223" s="54"/>
      <c r="H223" s="54"/>
      <c r="I223" s="54"/>
      <c r="J223" s="54"/>
    </row>
    <row r="224" spans="1:10">
      <c r="A224" s="39" t="s">
        <v>499</v>
      </c>
      <c r="B224" s="54"/>
      <c r="C224" s="54"/>
      <c r="D224" s="54"/>
      <c r="E224" s="54"/>
      <c r="F224" s="54"/>
      <c r="G224" s="54"/>
      <c r="H224" s="54"/>
      <c r="I224" s="54"/>
      <c r="J224" s="54"/>
    </row>
    <row r="225" spans="1:10">
      <c r="A225" s="39" t="s">
        <v>500</v>
      </c>
      <c r="B225" s="54"/>
      <c r="C225" s="54"/>
      <c r="D225" s="54"/>
      <c r="E225" s="54"/>
      <c r="F225" s="54"/>
      <c r="G225" s="54"/>
      <c r="H225" s="54"/>
      <c r="I225" s="54"/>
      <c r="J225" s="54"/>
    </row>
    <row r="226" spans="1:10">
      <c r="A226" s="39" t="s">
        <v>501</v>
      </c>
      <c r="B226" s="54"/>
      <c r="C226" s="54"/>
      <c r="D226" s="54"/>
      <c r="E226" s="54"/>
      <c r="F226" s="54"/>
      <c r="G226" s="54"/>
      <c r="H226" s="54"/>
      <c r="I226" s="54"/>
      <c r="J226" s="54"/>
    </row>
    <row r="227" spans="1:10">
      <c r="A227" s="39" t="s">
        <v>502</v>
      </c>
      <c r="B227" s="54"/>
      <c r="C227" s="54"/>
      <c r="D227" s="54"/>
      <c r="E227" s="54"/>
      <c r="F227" s="54"/>
      <c r="G227" s="54"/>
      <c r="H227" s="54"/>
      <c r="I227" s="54"/>
      <c r="J227" s="54"/>
    </row>
    <row r="228" spans="1:10">
      <c r="A228" s="39" t="s">
        <v>503</v>
      </c>
      <c r="B228" s="54"/>
      <c r="C228" s="54"/>
      <c r="D228" s="54"/>
      <c r="E228" s="54"/>
      <c r="F228" s="54"/>
      <c r="G228" s="54"/>
      <c r="H228" s="54"/>
      <c r="I228" s="54"/>
      <c r="J228" s="54"/>
    </row>
    <row r="229" spans="1:10">
      <c r="A229" s="39" t="s">
        <v>504</v>
      </c>
      <c r="B229" s="54"/>
      <c r="C229" s="54"/>
      <c r="D229" s="54"/>
      <c r="E229" s="54"/>
      <c r="F229" s="54"/>
      <c r="G229" s="54"/>
      <c r="H229" s="54"/>
      <c r="I229" s="54"/>
      <c r="J229" s="54"/>
    </row>
    <row r="230" spans="1:10">
      <c r="A230" s="39" t="s">
        <v>505</v>
      </c>
      <c r="B230" s="54"/>
      <c r="C230" s="54"/>
      <c r="D230" s="54"/>
      <c r="E230" s="54"/>
      <c r="F230" s="54"/>
      <c r="G230" s="54"/>
      <c r="H230" s="54"/>
      <c r="I230" s="54"/>
      <c r="J230" s="54"/>
    </row>
    <row r="231" spans="1:10">
      <c r="A231" s="39" t="s">
        <v>506</v>
      </c>
      <c r="B231" s="54"/>
      <c r="C231" s="54"/>
      <c r="D231" s="54"/>
      <c r="E231" s="54"/>
      <c r="F231" s="54"/>
      <c r="G231" s="54"/>
      <c r="H231" s="54"/>
      <c r="I231" s="54"/>
      <c r="J231" s="54"/>
    </row>
    <row r="232" spans="1:10">
      <c r="A232" s="39" t="s">
        <v>507</v>
      </c>
      <c r="B232" s="54"/>
      <c r="C232" s="54"/>
      <c r="D232" s="54"/>
      <c r="E232" s="54"/>
      <c r="F232" s="54"/>
      <c r="G232" s="54"/>
      <c r="H232" s="54"/>
      <c r="I232" s="54"/>
      <c r="J232" s="54"/>
    </row>
    <row r="233" spans="1:10">
      <c r="A233" s="39" t="s">
        <v>508</v>
      </c>
      <c r="B233" s="54"/>
      <c r="C233" s="54"/>
      <c r="D233" s="54"/>
      <c r="E233" s="54"/>
      <c r="F233" s="54"/>
      <c r="G233" s="54"/>
      <c r="H233" s="54"/>
      <c r="I233" s="54"/>
      <c r="J233" s="54"/>
    </row>
    <row r="234" spans="1:10">
      <c r="A234" s="39" t="s">
        <v>509</v>
      </c>
      <c r="B234" s="54"/>
      <c r="C234" s="54"/>
      <c r="D234" s="54"/>
      <c r="E234" s="54"/>
      <c r="F234" s="54"/>
      <c r="G234" s="54"/>
      <c r="H234" s="54"/>
      <c r="I234" s="54"/>
      <c r="J234" s="54"/>
    </row>
    <row r="235" spans="1:10">
      <c r="A235" s="39" t="s">
        <v>510</v>
      </c>
      <c r="B235" s="54"/>
      <c r="C235" s="54"/>
      <c r="D235" s="54"/>
      <c r="E235" s="54"/>
      <c r="F235" s="54"/>
      <c r="G235" s="54"/>
      <c r="H235" s="54"/>
      <c r="I235" s="54"/>
      <c r="J235" s="54"/>
    </row>
    <row r="236" spans="1:10">
      <c r="A236" s="39" t="s">
        <v>511</v>
      </c>
      <c r="B236" s="54"/>
      <c r="C236" s="54"/>
      <c r="D236" s="54"/>
      <c r="E236" s="54"/>
      <c r="F236" s="54"/>
      <c r="G236" s="54"/>
      <c r="H236" s="54"/>
      <c r="I236" s="54"/>
      <c r="J236" s="54"/>
    </row>
    <row r="237" spans="1:10">
      <c r="A237" s="39" t="s">
        <v>512</v>
      </c>
      <c r="B237" s="54"/>
      <c r="C237" s="54"/>
      <c r="D237" s="54"/>
      <c r="E237" s="54"/>
      <c r="F237" s="54"/>
      <c r="G237" s="54"/>
      <c r="H237" s="54"/>
      <c r="I237" s="54"/>
      <c r="J237" s="54"/>
    </row>
    <row r="238" spans="1:10">
      <c r="A238" s="39" t="s">
        <v>513</v>
      </c>
      <c r="B238" s="54"/>
      <c r="C238" s="54"/>
      <c r="D238" s="54"/>
      <c r="E238" s="54"/>
      <c r="F238" s="54"/>
      <c r="G238" s="54"/>
      <c r="H238" s="54"/>
      <c r="I238" s="54"/>
      <c r="J238" s="54"/>
    </row>
    <row r="239" spans="1:10">
      <c r="A239" s="39" t="s">
        <v>514</v>
      </c>
      <c r="B239" s="54"/>
      <c r="C239" s="54"/>
      <c r="D239" s="54"/>
      <c r="E239" s="54"/>
      <c r="F239" s="54"/>
      <c r="G239" s="54"/>
      <c r="H239" s="54"/>
      <c r="I239" s="54"/>
      <c r="J239" s="54"/>
    </row>
    <row r="240" spans="1:10">
      <c r="A240" s="39" t="s">
        <v>515</v>
      </c>
      <c r="B240" s="54"/>
      <c r="C240" s="54"/>
      <c r="D240" s="54"/>
      <c r="E240" s="54"/>
      <c r="F240" s="54"/>
      <c r="G240" s="54"/>
      <c r="H240" s="54"/>
      <c r="I240" s="54"/>
      <c r="J240" s="54"/>
    </row>
    <row r="241" spans="1:10">
      <c r="A241" s="39" t="s">
        <v>516</v>
      </c>
      <c r="B241" s="54"/>
      <c r="C241" s="54"/>
      <c r="D241" s="54"/>
      <c r="E241" s="54"/>
      <c r="F241" s="54"/>
      <c r="G241" s="54"/>
      <c r="H241" s="54"/>
      <c r="I241" s="54"/>
      <c r="J241" s="54"/>
    </row>
    <row r="242" spans="1:10">
      <c r="A242" s="39" t="s">
        <v>517</v>
      </c>
      <c r="B242" s="54"/>
      <c r="C242" s="54"/>
      <c r="D242" s="54"/>
      <c r="E242" s="54"/>
      <c r="F242" s="54"/>
      <c r="G242" s="54"/>
      <c r="H242" s="54"/>
      <c r="I242" s="54"/>
      <c r="J242" s="54"/>
    </row>
    <row r="243" spans="1:10">
      <c r="A243" s="39" t="s">
        <v>518</v>
      </c>
      <c r="B243" s="54"/>
      <c r="C243" s="54"/>
      <c r="D243" s="54"/>
      <c r="E243" s="54"/>
      <c r="F243" s="54"/>
      <c r="G243" s="54"/>
      <c r="H243" s="54"/>
      <c r="I243" s="54"/>
      <c r="J243" s="54"/>
    </row>
    <row r="244" spans="1:10">
      <c r="A244" s="39" t="s">
        <v>519</v>
      </c>
      <c r="B244" s="54"/>
      <c r="C244" s="54"/>
      <c r="D244" s="54"/>
      <c r="E244" s="54"/>
      <c r="F244" s="54"/>
      <c r="G244" s="54"/>
      <c r="H244" s="54"/>
      <c r="I244" s="54"/>
      <c r="J244" s="54"/>
    </row>
    <row r="245" spans="1:10">
      <c r="A245" s="39" t="s">
        <v>520</v>
      </c>
      <c r="B245" s="54"/>
      <c r="C245" s="54"/>
      <c r="D245" s="54"/>
      <c r="E245" s="54"/>
      <c r="F245" s="54"/>
      <c r="G245" s="54"/>
      <c r="H245" s="54"/>
      <c r="I245" s="54"/>
      <c r="J245" s="54"/>
    </row>
    <row r="246" spans="1:10">
      <c r="A246" s="39" t="s">
        <v>521</v>
      </c>
      <c r="B246" s="54"/>
      <c r="C246" s="54"/>
      <c r="D246" s="54"/>
      <c r="E246" s="54"/>
      <c r="F246" s="54"/>
      <c r="G246" s="54"/>
      <c r="H246" s="54"/>
      <c r="I246" s="54"/>
      <c r="J246" s="54"/>
    </row>
    <row r="247" spans="1:10">
      <c r="A247" s="39" t="s">
        <v>522</v>
      </c>
      <c r="B247" s="54"/>
      <c r="C247" s="54"/>
      <c r="D247" s="54"/>
      <c r="E247" s="54"/>
      <c r="F247" s="54"/>
      <c r="G247" s="54"/>
      <c r="H247" s="54"/>
      <c r="I247" s="54"/>
      <c r="J247" s="54"/>
    </row>
    <row r="248" spans="1:10">
      <c r="A248" s="39" t="s">
        <v>523</v>
      </c>
      <c r="B248" s="54"/>
      <c r="C248" s="54"/>
      <c r="D248" s="54"/>
      <c r="E248" s="54"/>
      <c r="F248" s="54"/>
      <c r="G248" s="54"/>
      <c r="H248" s="54"/>
      <c r="I248" s="54"/>
      <c r="J248" s="54"/>
    </row>
    <row r="249" spans="1:10">
      <c r="A249" s="39" t="s">
        <v>524</v>
      </c>
      <c r="B249" s="54"/>
      <c r="C249" s="54"/>
      <c r="D249" s="54"/>
      <c r="E249" s="54"/>
      <c r="F249" s="54"/>
      <c r="G249" s="54"/>
      <c r="H249" s="54"/>
      <c r="I249" s="54"/>
      <c r="J249" s="54"/>
    </row>
    <row r="250" spans="1:10">
      <c r="A250" s="39" t="s">
        <v>525</v>
      </c>
      <c r="B250" s="54"/>
      <c r="C250" s="54"/>
      <c r="D250" s="54"/>
      <c r="E250" s="54"/>
      <c r="F250" s="54"/>
      <c r="G250" s="54"/>
      <c r="H250" s="54"/>
      <c r="I250" s="54"/>
      <c r="J250" s="54"/>
    </row>
    <row r="251" spans="1:10">
      <c r="A251" s="39" t="s">
        <v>526</v>
      </c>
      <c r="B251" s="54"/>
      <c r="C251" s="54"/>
      <c r="D251" s="54"/>
      <c r="E251" s="54"/>
      <c r="F251" s="54"/>
      <c r="G251" s="54"/>
      <c r="H251" s="54"/>
      <c r="I251" s="54"/>
      <c r="J251" s="54"/>
    </row>
    <row r="252" spans="1:10">
      <c r="A252" s="39" t="s">
        <v>527</v>
      </c>
      <c r="B252" s="54"/>
      <c r="C252" s="54"/>
      <c r="D252" s="54"/>
      <c r="E252" s="54"/>
      <c r="F252" s="54"/>
      <c r="G252" s="54"/>
      <c r="H252" s="54"/>
      <c r="I252" s="54"/>
      <c r="J252" s="54"/>
    </row>
    <row r="253" spans="1:10">
      <c r="A253" s="46" t="s">
        <v>528</v>
      </c>
      <c r="B253" s="54"/>
      <c r="C253" s="54"/>
      <c r="D253" s="54"/>
      <c r="E253" s="54"/>
      <c r="F253" s="54"/>
      <c r="G253" s="54"/>
      <c r="H253" s="54"/>
      <c r="I253" s="54"/>
      <c r="J253" s="54"/>
    </row>
  </sheetData>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8C6E30F-DCA8-4923-B5BE-E8971F150B9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Pre Audit Dos</vt:lpstr>
      <vt:lpstr>DE Background Information</vt:lpstr>
      <vt:lpstr>DE Business Activities</vt:lpstr>
      <vt:lpstr>DE Production Structure</vt:lpstr>
      <vt:lpstr>DE Employment Structure</vt:lpstr>
      <vt:lpstr>Interviews evidence</vt:lpstr>
      <vt:lpstr>General information</vt:lpstr>
      <vt:lpstr>Main auditee</vt:lpstr>
      <vt:lpstr>uniform</vt:lpstr>
      <vt:lpstr>Reference</vt:lpstr>
      <vt:lpstr>blw</vt:lpstr>
      <vt:lpstr>Drop down</vt:lpstr>
      <vt:lpstr>Reference!_Hlk89178409</vt:lpstr>
      <vt:lpstr>aid</vt:lpstr>
      <vt:lpstr>'Pre Audit Dos'!auditType</vt:lpstr>
      <vt:lpstr>BLaddress</vt:lpstr>
      <vt:lpstr>closeMeetingTime</vt:lpstr>
      <vt:lpstr>Enaddress</vt:lpstr>
      <vt:lpstr>ftyCity</vt:lpstr>
      <vt:lpstr>ftyCNname</vt:lpstr>
      <vt:lpstr>ftyENname</vt:lpstr>
      <vt:lpstr>fuScope</vt:lpstr>
      <vt:lpstr>Onsite</vt:lpstr>
      <vt:lpstr>openMeetingTime</vt:lpstr>
      <vt:lpstr>payday</vt:lpstr>
      <vt:lpstr>'DE Business Activities'!Print_Area</vt:lpstr>
      <vt:lpstr>samplingMonth</vt:lpstr>
      <vt:lpstr>shift</vt:lpstr>
      <vt:lpstr>timeRecordingDevice</vt:lpstr>
      <vt:lpstr>totalNumberTemp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Elisa van der Valk</dc:creator>
  <cp:lastModifiedBy>Wing Xu</cp:lastModifiedBy>
  <cp:lastPrinted>2014-09-12T14:12:56Z</cp:lastPrinted>
  <dcterms:created xsi:type="dcterms:W3CDTF">2014-04-24T12:09:56Z</dcterms:created>
  <dcterms:modified xsi:type="dcterms:W3CDTF">2025-06-03T08:11:47Z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2.1.3</vt:lpwstr>
  </property>
</Properties>
</file>