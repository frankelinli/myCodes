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dex审核信息收集表" sheetId="1" state="visible" r:id="rId1"/>
  </sheets>
  <definedNames>
    <definedName name="_xlnm.Print_Area" localSheetId="0">'Sedex审核信息收集表'!$A$1:$H$82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%"/>
    <numFmt numFmtId="166" formatCode="0.0&quot;%&quot;"/>
  </numFmts>
  <fonts count="7">
    <font>
      <name val="Calibri"/>
      <family val="2"/>
      <color theme="1"/>
      <sz val="11"/>
      <scheme val="minor"/>
    </font>
    <font>
      <name val="Microsoft YaHei"/>
      <b val="1"/>
      <color rgb="001A3A5C"/>
      <sz val="18"/>
    </font>
    <font>
      <name val="Microsoft YaHei"/>
      <color rgb="00777777"/>
      <sz val="10"/>
    </font>
    <font>
      <name val="Microsoft YaHei"/>
      <b val="1"/>
      <color rgb="001A3A5C"/>
      <sz val="11"/>
    </font>
    <font>
      <name val="Microsoft YaHei"/>
      <color rgb="00222222"/>
      <sz val="11"/>
    </font>
    <font>
      <name val="Microsoft YaHei"/>
      <b val="1"/>
      <color rgb="00FFFFFF"/>
      <sz val="11"/>
    </font>
    <font>
      <name val="Microsoft YaHei"/>
      <b val="1"/>
      <color rgb="001E6B2E"/>
      <sz val="11"/>
    </font>
  </fonts>
  <fills count="10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FFFBE6"/>
      </patternFill>
    </fill>
    <fill>
      <patternFill patternType="solid">
        <fgColor rgb="001A3A5C"/>
      </patternFill>
    </fill>
    <fill>
      <patternFill patternType="solid">
        <fgColor rgb="00DCE6F1"/>
      </patternFill>
    </fill>
    <fill>
      <patternFill patternType="solid">
        <fgColor rgb="00C6EFCE"/>
      </patternFill>
    </fill>
    <fill>
      <patternFill patternType="solid">
        <fgColor rgb="00F5F8FF"/>
      </patternFill>
    </fill>
    <fill>
      <patternFill patternType="solid">
        <fgColor rgb="00D9D9D9"/>
      </patternFill>
    </fill>
    <fill>
      <patternFill patternType="solid">
        <fgColor rgb="00F5F7FA"/>
      </patternFill>
    </fill>
  </fills>
  <borders count="7">
    <border>
      <left/>
      <right/>
      <top/>
      <bottom/>
      <diagonal/>
    </border>
    <border/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  <border>
      <left/>
      <right/>
      <top style="thin">
        <color rgb="00B0BEC5"/>
      </top>
      <bottom/>
      <diagonal/>
    </border>
    <border>
      <left/>
      <right style="thin">
        <color rgb="00B0BEC5"/>
      </right>
      <top style="thin">
        <color rgb="00B0BEC5"/>
      </top>
      <bottom/>
      <diagonal/>
    </border>
    <border>
      <left/>
      <right/>
      <top style="thin">
        <color rgb="00B0BEC5"/>
      </top>
      <bottom style="thin">
        <color rgb="00B0BEC5"/>
      </bottom>
      <diagonal/>
    </border>
    <border>
      <left/>
      <right style="thin">
        <color rgb="00B0BEC5"/>
      </right>
      <top style="thin">
        <color rgb="00B0BEC5"/>
      </top>
      <bottom style="thin">
        <color rgb="00B0BEC5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2" borderId="2" applyAlignment="1" pivotButton="0" quotePrefix="0" xfId="0">
      <alignment horizontal="left" vertical="center"/>
    </xf>
    <xf numFmtId="164" fontId="4" fillId="2" borderId="2" applyAlignment="1" pivotButton="0" quotePrefix="0" xfId="0">
      <alignment horizontal="left" vertical="center"/>
    </xf>
    <xf numFmtId="0" fontId="4" fillId="3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left" vertical="center"/>
    </xf>
    <xf numFmtId="0" fontId="3" fillId="5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left" vertical="center"/>
    </xf>
    <xf numFmtId="1" fontId="4" fillId="2" borderId="2" applyAlignment="1" pivotButton="0" quotePrefix="0" xfId="0">
      <alignment horizontal="center" vertical="center" wrapText="1"/>
    </xf>
    <xf numFmtId="1" fontId="4" fillId="8" borderId="2" applyAlignment="1" pivotButton="0" quotePrefix="0" xfId="0">
      <alignment horizontal="center" vertical="center" wrapText="1"/>
    </xf>
    <xf numFmtId="165" fontId="4" fillId="8" borderId="2" applyAlignment="1" pivotButton="0" quotePrefix="0" xfId="0">
      <alignment horizontal="center" vertical="center" wrapText="1"/>
    </xf>
    <xf numFmtId="1" fontId="6" fillId="6" borderId="2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4" fillId="8" borderId="2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center" vertical="center" wrapText="1"/>
    </xf>
    <xf numFmtId="164" fontId="4" fillId="2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left" vertical="top" wrapText="1"/>
    </xf>
    <xf numFmtId="0" fontId="4" fillId="9" borderId="2" applyAlignment="1" pivotButton="0" quotePrefix="0" xfId="0">
      <alignment horizontal="left" vertical="center" wrapText="1"/>
    </xf>
    <xf numFmtId="166" fontId="4" fillId="2" borderId="2" applyAlignment="1" pivotButton="0" quotePrefix="0" xfId="0">
      <alignment horizontal="center" vertical="center" wrapText="1"/>
    </xf>
    <xf numFmtId="166" fontId="4" fillId="8" borderId="2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left" vertical="center"/>
    </xf>
    <xf numFmtId="2" fontId="4" fillId="8" borderId="2" applyAlignment="1" pivotButton="0" quotePrefix="0" xfId="0">
      <alignment horizontal="center" vertical="center" wrapText="1"/>
    </xf>
    <xf numFmtId="0" fontId="2" fillId="7" borderId="2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left" vertical="center"/>
    </xf>
    <xf numFmtId="0" fontId="6" fillId="6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left" vertical="center"/>
    </xf>
    <xf numFmtId="0" fontId="4" fillId="2" borderId="2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2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1" customWidth="1" min="3" max="3"/>
    <col width="11" customWidth="1" min="4" max="4"/>
    <col width="11" customWidth="1" min="5" max="5"/>
    <col width="14" customWidth="1" min="6" max="6"/>
    <col width="14" customWidth="1" min="7" max="7"/>
    <col width="18" customWidth="1" min="8" max="8"/>
    <col width="4" customWidth="1" min="9" max="9"/>
    <col hidden="1" width="20" customWidth="1" min="10" max="10"/>
  </cols>
  <sheetData>
    <row r="1" ht="28" customHeight="1">
      <c r="A1" s="1" t="inlineStr">
        <is>
          <t>Sedex 审核信息收集表</t>
        </is>
      </c>
      <c r="B1" s="1" t="n"/>
      <c r="C1" s="1" t="n"/>
      <c r="D1" s="1" t="n"/>
      <c r="E1" s="1" t="n"/>
      <c r="F1" s="1" t="n"/>
      <c r="G1" s="1" t="n"/>
      <c r="H1" s="1" t="n"/>
    </row>
    <row r="2" ht="20" customHeight="1">
      <c r="A2" s="2" t="inlineStr">
        <is>
          <t>Social Audit Information Collection Form</t>
        </is>
      </c>
      <c r="B2" s="2" t="n"/>
      <c r="C2" s="2" t="n"/>
      <c r="D2" s="2" t="n"/>
      <c r="E2" s="2" t="n"/>
      <c r="F2" s="2" t="n"/>
      <c r="G2" s="2" t="n"/>
      <c r="H2" s="2" t="n"/>
    </row>
    <row r="3" ht="20" customHeight="1"/>
    <row r="4" ht="20" customHeight="1">
      <c r="A4" s="3" t="inlineStr">
        <is>
          <t>工厂名称</t>
        </is>
      </c>
      <c r="B4" s="3" t="n"/>
      <c r="C4" s="4" t="inlineStr"/>
      <c r="D4" s="4" t="n"/>
      <c r="E4" s="3" t="inlineStr">
        <is>
          <t>填表日期</t>
        </is>
      </c>
      <c r="F4" s="3" t="n"/>
      <c r="G4" s="5" t="inlineStr"/>
      <c r="H4" s="3" t="inlineStr">
        <is>
          <t>填表人</t>
        </is>
      </c>
    </row>
    <row r="5" ht="20" customHeight="1">
      <c r="H5" s="4" t="inlineStr"/>
    </row>
    <row r="6" ht="20" customHeight="1">
      <c r="A6" s="6" t="inlineStr">
        <is>
          <t>填表说明：灰色区域为自动计算结果，无需手动填写。请在白色/浅色输入框中填入实际数据，表格将实时自动计算相关数据。</t>
        </is>
      </c>
      <c r="B6" s="6" t="n"/>
      <c r="C6" s="6" t="n"/>
      <c r="D6" s="6" t="n"/>
      <c r="E6" s="6" t="n"/>
      <c r="F6" s="6" t="n"/>
      <c r="G6" s="6" t="n"/>
      <c r="H6" s="6" t="n"/>
    </row>
    <row r="7" ht="20" customHeight="1"/>
    <row r="8" ht="20" customHeight="1">
      <c r="A8" s="7" t="inlineStr">
        <is>
          <t>一、人员信息 / Workforce Information</t>
        </is>
      </c>
      <c r="B8" s="7" t="n"/>
      <c r="C8" s="7" t="n"/>
      <c r="D8" s="7" t="n"/>
      <c r="E8" s="7" t="n"/>
      <c r="F8" s="7" t="n"/>
      <c r="G8" s="7" t="n"/>
      <c r="H8" s="7" t="n"/>
    </row>
    <row r="9" ht="20" customHeight="1">
      <c r="A9" s="8" t="inlineStr">
        <is>
          <t>分类</t>
        </is>
      </c>
      <c r="B9" s="8" t="inlineStr">
        <is>
          <t>岗位 / 说明</t>
        </is>
      </c>
      <c r="C9" s="8" t="inlineStr">
        <is>
          <t>男</t>
        </is>
      </c>
      <c r="D9" s="8" t="inlineStr">
        <is>
          <t>女</t>
        </is>
      </c>
      <c r="E9" s="8" t="inlineStr">
        <is>
          <t>合计</t>
        </is>
      </c>
      <c r="F9" s="8" t="inlineStr">
        <is>
          <t>男占比</t>
        </is>
      </c>
      <c r="G9" s="8" t="inlineStr">
        <is>
          <t>女占比</t>
        </is>
      </c>
      <c r="H9" s="8" t="inlineStr">
        <is>
          <t>全厂总人数</t>
        </is>
      </c>
    </row>
    <row r="10" ht="20" customHeight="1">
      <c r="A10" s="8" t="inlineStr">
        <is>
          <t>生产</t>
        </is>
      </c>
      <c r="B10" s="9" t="inlineStr">
        <is>
          <t>生产工人</t>
        </is>
      </c>
      <c r="C10" s="10" t="n">
        <v>6</v>
      </c>
      <c r="D10" s="10" t="n">
        <v>7</v>
      </c>
      <c r="E10" s="11">
        <f>C10+D10</f>
        <v/>
      </c>
      <c r="F10" s="12">
        <f>IF(E10&gt;0,C10/E10,"")</f>
        <v/>
      </c>
      <c r="G10" s="12">
        <f>IF(E10&gt;0,D10/E10,"")</f>
        <v/>
      </c>
      <c r="H10" s="13">
        <f>E10+E17+E18+E19</f>
        <v/>
      </c>
    </row>
    <row r="11" ht="20" customHeight="1">
      <c r="A11" s="8" t="n"/>
      <c r="B11" s="9" t="inlineStr">
        <is>
          <t>其中：18-24岁工人</t>
        </is>
      </c>
      <c r="C11" s="10" t="n">
        <v>1</v>
      </c>
      <c r="D11" s="10" t="n">
        <v>0</v>
      </c>
      <c r="E11" s="11">
        <f>C11+D11</f>
        <v/>
      </c>
      <c r="F11" s="14" t="inlineStr">
        <is>
          <t>（仅供参考）</t>
        </is>
      </c>
      <c r="G11" s="14" t="n"/>
      <c r="H11" s="13" t="n"/>
    </row>
    <row r="12" ht="20" customHeight="1">
      <c r="A12" s="8" t="n"/>
      <c r="B12" s="9" t="inlineStr">
        <is>
          <t>其中：最小年龄（岁）</t>
        </is>
      </c>
      <c r="C12" s="4" t="inlineStr"/>
      <c r="D12" s="4" t="n"/>
      <c r="E12" s="15">
        <f>IF(C12&gt;0,C12,"")</f>
        <v/>
      </c>
      <c r="F12" s="16" t="inlineStr"/>
      <c r="G12" s="16" t="n"/>
      <c r="H12" s="13" t="n"/>
    </row>
    <row r="13" ht="20" customHeight="1">
      <c r="A13" s="8" t="n"/>
      <c r="B13" s="9" t="inlineStr">
        <is>
          <t>其中：外省工人</t>
        </is>
      </c>
      <c r="C13" s="10" t="n">
        <v>5</v>
      </c>
      <c r="D13" s="10" t="n">
        <v>7</v>
      </c>
      <c r="E13" s="11">
        <f>C13+D13</f>
        <v/>
      </c>
      <c r="F13" s="15">
        <f>IF(E10&gt;0,"外省占比 "&amp;ROUND(E13/E10*100,0)&amp;"%","外省占比 -")</f>
        <v/>
      </c>
      <c r="G13" s="15" t="n"/>
      <c r="H13" s="13" t="n"/>
    </row>
    <row r="14" ht="20" customHeight="1">
      <c r="A14" s="8" t="n"/>
      <c r="B14" s="9" t="inlineStr">
        <is>
          <t>其中：过去12个月入职</t>
        </is>
      </c>
      <c r="C14" s="10" t="n">
        <v>0</v>
      </c>
      <c r="D14" s="10" t="n">
        <v>0</v>
      </c>
      <c r="E14" s="11">
        <f>C14+D14</f>
        <v/>
      </c>
      <c r="F14" s="14" t="inlineStr">
        <is>
          <t>男 / 女 / 合计</t>
        </is>
      </c>
      <c r="G14" s="14" t="n"/>
      <c r="H14" s="13" t="n"/>
    </row>
    <row r="15" ht="20" customHeight="1">
      <c r="A15" s="8" t="n"/>
      <c r="B15" s="9" t="inlineStr">
        <is>
          <t>其中：达到退休年龄</t>
        </is>
      </c>
      <c r="C15" s="10" t="n">
        <v>0</v>
      </c>
      <c r="D15" s="10" t="n">
        <v>0</v>
      </c>
      <c r="E15" s="11">
        <f>C15+D15</f>
        <v/>
      </c>
      <c r="F15" s="15">
        <f>"男 "&amp;TEXT(C15,"0")&amp;" / 女 "&amp;TEXT(D15,"0")&amp;" / 合计 "&amp;TEXT(E15,"0")</f>
        <v/>
      </c>
      <c r="G15" s="15" t="n"/>
      <c r="H15" s="13" t="n"/>
    </row>
    <row r="16" ht="20" customHeight="1">
      <c r="A16" s="8" t="n"/>
      <c r="B16" s="9" t="inlineStr">
        <is>
          <t>外省最多的5个省份</t>
        </is>
      </c>
      <c r="C16" s="4" t="inlineStr">
        <is>
          <t>Hunan, Hubei, Guizhou, Sichuan, Jiangxi</t>
        </is>
      </c>
      <c r="D16" s="4" t="n"/>
      <c r="E16" s="4" t="n"/>
      <c r="F16" s="4" t="n"/>
      <c r="G16" s="4" t="n"/>
      <c r="H16" s="13" t="n"/>
    </row>
    <row r="17" ht="20" customHeight="1">
      <c r="A17" s="8" t="inlineStr">
        <is>
          <t>非生产</t>
        </is>
      </c>
      <c r="B17" s="9" t="inlineStr">
        <is>
          <t>高管级别</t>
        </is>
      </c>
      <c r="C17" s="16" t="n">
        <v>1</v>
      </c>
      <c r="D17" s="16" t="n">
        <v>0</v>
      </c>
      <c r="E17" s="15">
        <f>C17+D17</f>
        <v/>
      </c>
      <c r="F17" s="16" t="inlineStr"/>
      <c r="G17" s="16" t="n"/>
      <c r="H17" s="16" t="n"/>
    </row>
    <row r="18" ht="20" customHeight="1">
      <c r="A18" s="8" t="n"/>
      <c r="B18" s="9" t="inlineStr">
        <is>
          <t>主管级别</t>
        </is>
      </c>
      <c r="C18" s="16" t="n">
        <v>0</v>
      </c>
      <c r="D18" s="16" t="n">
        <v>0</v>
      </c>
      <c r="E18" s="15">
        <f>C18+D18</f>
        <v/>
      </c>
      <c r="F18" s="16" t="inlineStr"/>
      <c r="G18" s="16" t="n"/>
      <c r="H18" s="16" t="n"/>
    </row>
    <row r="19" ht="20" customHeight="1">
      <c r="A19" s="8" t="n"/>
      <c r="B19" s="9" t="inlineStr">
        <is>
          <t>行政、财务、研发、后勤等</t>
        </is>
      </c>
      <c r="C19" s="16" t="n">
        <v>0</v>
      </c>
      <c r="D19" s="16" t="n">
        <v>1</v>
      </c>
      <c r="E19" s="15">
        <f>C19+D19</f>
        <v/>
      </c>
      <c r="F19" s="16" t="inlineStr"/>
      <c r="G19" s="16" t="n"/>
      <c r="H19" s="16" t="n"/>
    </row>
    <row r="20" ht="20" customHeight="1"/>
    <row r="21" ht="20" customHeight="1"/>
    <row r="22" ht="20" customHeight="1">
      <c r="A22" s="7" t="inlineStr">
        <is>
          <t>二、抽样信息 / Sampling Information</t>
        </is>
      </c>
      <c r="B22" s="7" t="n"/>
      <c r="C22" s="7" t="n"/>
      <c r="D22" s="7" t="n"/>
      <c r="E22" s="7" t="n"/>
    </row>
    <row r="23" ht="20" customHeight="1">
      <c r="A23" s="8" t="inlineStr">
        <is>
          <t>说明</t>
        </is>
      </c>
      <c r="B23" s="8" t="inlineStr">
        <is>
          <t>男</t>
        </is>
      </c>
      <c r="C23" s="8" t="inlineStr">
        <is>
          <t>女</t>
        </is>
      </c>
      <c r="D23" s="8" t="inlineStr">
        <is>
          <t>共抽样人数</t>
        </is>
      </c>
      <c r="E23" s="8" t="inlineStr">
        <is>
          <t>备注</t>
        </is>
      </c>
    </row>
    <row r="24" ht="20" customHeight="1">
      <c r="A24" s="9" t="inlineStr">
        <is>
          <t>抽样人数（合计）</t>
        </is>
      </c>
      <c r="B24" s="16" t="n">
        <v>6</v>
      </c>
      <c r="C24" s="16" t="n">
        <v>4</v>
      </c>
      <c r="D24" s="15">
        <f>B24+C24</f>
        <v/>
      </c>
      <c r="E24" s="16" t="inlineStr"/>
    </row>
    <row r="25" ht="20" customHeight="1">
      <c r="A25" s="9" t="inlineStr">
        <is>
          <t>其中：外省工人</t>
        </is>
      </c>
      <c r="B25" s="16" t="n">
        <v>5</v>
      </c>
      <c r="C25" s="16" t="n">
        <v>4</v>
      </c>
      <c r="D25" s="15">
        <f>B25+C25</f>
        <v/>
      </c>
      <c r="E25" s="16" t="inlineStr"/>
    </row>
    <row r="26" ht="20" customHeight="1"/>
    <row r="27" ht="20" customHeight="1"/>
    <row r="28" ht="20" customHeight="1">
      <c r="A28" s="7" t="inlineStr">
        <is>
          <t>三、证件与许可证 / Certificates &amp; Permits</t>
        </is>
      </c>
      <c r="B28" s="7" t="n"/>
      <c r="C28" s="7" t="n"/>
      <c r="D28" s="7" t="n"/>
    </row>
    <row r="29" ht="20" customHeight="1">
      <c r="A29" s="8" t="inlineStr">
        <is>
          <t>证件名称</t>
        </is>
      </c>
      <c r="B29" s="8" t="inlineStr">
        <is>
          <t>证件 / 报告编号</t>
        </is>
      </c>
      <c r="C29" s="8" t="inlineStr">
        <is>
          <t>颁发日期</t>
        </is>
      </c>
      <c r="D29" s="8" t="inlineStr">
        <is>
          <t>有效期（无固定期限请填长期）</t>
        </is>
      </c>
    </row>
    <row r="30" ht="20" customHeight="1">
      <c r="A30" s="9" t="inlineStr">
        <is>
          <t>营业执照</t>
        </is>
      </c>
      <c r="B30" s="4" t="inlineStr">
        <is>
          <t>91440111340203752A</t>
        </is>
      </c>
      <c r="C30" s="17" t="inlineStr">
        <is>
          <t>2015-05-15</t>
        </is>
      </c>
      <c r="D30" s="4" t="inlineStr">
        <is>
          <t>无固定期限</t>
        </is>
      </c>
      <c r="J30">
        <f>IF(AND(B30="",C30="",D30=""),"",A30&amp;": "&amp;IF(B30&lt;&gt;"","Doc number: "&amp;B30&amp;". ","")&amp;IF(C30&lt;&gt;"","Issue date: "&amp;TEXT(C30,"dd/mm/yyyy")&amp;". ","")&amp;IF(D30&lt;&gt;"",IF(OR(D30="无固定期限",D30="长期"),"Valid indefinitely.","Valid until "&amp;D30&amp;"."),""))</f>
        <v/>
      </c>
    </row>
    <row r="31" ht="20" customHeight="1">
      <c r="A31" s="9" t="inlineStr">
        <is>
          <t>消防验收报告</t>
        </is>
      </c>
      <c r="B31" s="4" t="inlineStr">
        <is>
          <t>穗公白消（建验）字[2010] 第0124号</t>
        </is>
      </c>
      <c r="C31" s="17" t="inlineStr">
        <is>
          <t>2010-06-21</t>
        </is>
      </c>
      <c r="D31" s="4" t="inlineStr"/>
      <c r="J31">
        <f>IF(AND(B31="",C31="",D31=""),"",A31&amp;": "&amp;IF(B31&lt;&gt;"","Doc number: "&amp;B31&amp;". ","")&amp;IF(C31&lt;&gt;"","Issue date: "&amp;TEXT(C31,"dd/mm/yyyy")&amp;". ","")&amp;IF(D31&lt;&gt;"",IF(OR(D31="无固定期限",D31="长期"),"Valid indefinitely.","Valid until "&amp;D31&amp;"."),""))</f>
        <v/>
      </c>
    </row>
    <row r="32" ht="20" customHeight="1">
      <c r="A32" s="9" t="inlineStr">
        <is>
          <t>竣工验收报告</t>
        </is>
      </c>
      <c r="B32" s="4" t="inlineStr">
        <is>
          <t>GD301521</t>
        </is>
      </c>
      <c r="C32" s="17" t="inlineStr">
        <is>
          <t>2010-04-20</t>
        </is>
      </c>
      <c r="D32" s="4" t="inlineStr"/>
      <c r="J32">
        <f>IF(AND(B32="",C32="",D32=""),"",A32&amp;": "&amp;IF(B32&lt;&gt;"","Doc number: "&amp;B32&amp;". ","")&amp;IF(C32&lt;&gt;"","Issue date: "&amp;TEXT(C32,"dd/mm/yyyy")&amp;". ","")&amp;IF(D32&lt;&gt;"",IF(OR(D32="无固定期限",D32="长期"),"Valid indefinitely.","Valid until "&amp;D32&amp;"."),""))</f>
        <v/>
      </c>
    </row>
    <row r="33" ht="20" customHeight="1">
      <c r="A33" s="9" t="inlineStr">
        <is>
          <t>其他安全、环保相关证书 1</t>
        </is>
      </c>
      <c r="B33" s="4" t="inlineStr"/>
      <c r="C33" s="17" t="inlineStr"/>
      <c r="D33" s="4" t="inlineStr"/>
      <c r="J33">
        <f>IF(AND(B33="",C33="",D33=""),"",A33&amp;": "&amp;IF(B33&lt;&gt;"","Doc number: "&amp;B33&amp;". ","")&amp;IF(C33&lt;&gt;"","Issue date: "&amp;TEXT(C33,"dd/mm/yyyy")&amp;". ","")&amp;IF(D33&lt;&gt;"",IF(OR(D33="无固定期限",D33="长期"),"Valid indefinitely.","Valid until "&amp;D33&amp;"."),""))</f>
        <v/>
      </c>
    </row>
    <row r="34" ht="20" customHeight="1">
      <c r="A34" s="9" t="inlineStr">
        <is>
          <t>其他安全、环保相关证书 2</t>
        </is>
      </c>
      <c r="B34" s="4" t="inlineStr"/>
      <c r="C34" s="17" t="inlineStr"/>
      <c r="D34" s="4" t="inlineStr"/>
      <c r="J34">
        <f>IF(AND(B34="",C34="",D34=""),"",A34&amp;": "&amp;IF(B34&lt;&gt;"","Doc number: "&amp;B34&amp;". ","")&amp;IF(C34&lt;&gt;"","Issue date: "&amp;TEXT(C34,"dd/mm/yyyy")&amp;". ","")&amp;IF(D34&lt;&gt;"",IF(OR(D34="无固定期限",D34="长期"),"Valid indefinitely.","Valid until "&amp;D34&amp;"."),""))</f>
        <v/>
      </c>
    </row>
    <row r="35" ht="20" customHeight="1">
      <c r="A35" s="9" t="inlineStr">
        <is>
          <t>其他安全、环保相关证书 3</t>
        </is>
      </c>
      <c r="B35" s="4" t="inlineStr"/>
      <c r="C35" s="17" t="inlineStr"/>
      <c r="D35" s="4" t="inlineStr"/>
      <c r="J35">
        <f>IF(AND(B35="",C35="",D35=""),"",A35&amp;": "&amp;IF(B35&lt;&gt;"","Doc number: "&amp;B35&amp;". ","")&amp;IF(C35&lt;&gt;"","Issue date: "&amp;TEXT(C35,"dd/mm/yyyy")&amp;". ","")&amp;IF(D35&lt;&gt;"",IF(OR(D35="无固定期限",D35="长期"),"Valid indefinitely.","Valid until "&amp;D35&amp;"."),""))</f>
        <v/>
      </c>
    </row>
    <row r="36" ht="20" customHeight="1"/>
    <row r="37" ht="72" customHeight="1">
      <c r="A37" s="18">
        <f>TEXTJOIN(CHAR(10),TRUE,J30:J35)</f>
        <v/>
      </c>
      <c r="B37" s="18" t="n"/>
      <c r="C37" s="18" t="n"/>
      <c r="D37" s="18" t="n"/>
    </row>
    <row r="38" ht="20" customHeight="1">
      <c r="A38" s="18" t="n"/>
      <c r="B38" s="18" t="n"/>
      <c r="C38" s="18" t="n"/>
      <c r="D38" s="18" t="n"/>
    </row>
    <row r="39" ht="20" customHeight="1">
      <c r="A39" s="18" t="n"/>
      <c r="B39" s="18" t="n"/>
      <c r="C39" s="18" t="n"/>
      <c r="D39" s="18" t="n"/>
    </row>
    <row r="40" ht="20" customHeight="1">
      <c r="A40" s="18" t="n"/>
      <c r="B40" s="18" t="n"/>
      <c r="C40" s="18" t="n"/>
      <c r="D40" s="18" t="n"/>
    </row>
    <row r="41" ht="20" customHeight="1"/>
    <row r="42" ht="20" customHeight="1">
      <c r="A42" s="7" t="inlineStr">
        <is>
          <t>四、年度员工流失率 / Annual Employee Turnover Rate (%)</t>
        </is>
      </c>
      <c r="B42" s="7" t="n"/>
      <c r="C42" s="7" t="n"/>
      <c r="D42" s="7" t="n"/>
      <c r="E42" s="7" t="n"/>
    </row>
    <row r="43" ht="20" customHeight="1">
      <c r="A43" s="19" t="inlineStr">
        <is>
          <t>统计口径：过去12个月内离职员工数占全年现场平均员工总数的百分比。输入格式为百分比数值，例如 6.7 表示 6.7%。</t>
        </is>
      </c>
      <c r="B43" s="19" t="n"/>
      <c r="C43" s="19" t="n"/>
      <c r="D43" s="19" t="n"/>
      <c r="E43" s="19" t="n"/>
    </row>
    <row r="44" ht="20" customHeight="1">
      <c r="A44" s="8" t="inlineStr">
        <is>
          <t>时间段</t>
        </is>
      </c>
      <c r="B44" s="8" t="inlineStr">
        <is>
          <t>男（%）</t>
        </is>
      </c>
      <c r="C44" s="8" t="inlineStr">
        <is>
          <t>女（%）</t>
        </is>
      </c>
      <c r="D44" s="8" t="inlineStr">
        <is>
          <t>合计（%）</t>
        </is>
      </c>
      <c r="E44" s="8" t="inlineStr">
        <is>
          <t>备注</t>
        </is>
      </c>
    </row>
    <row r="45" ht="20" customHeight="1">
      <c r="A45" s="9" t="inlineStr">
        <is>
          <t>上季度（近90天）</t>
        </is>
      </c>
      <c r="B45" s="20" t="n">
        <v>0</v>
      </c>
      <c r="C45" s="20" t="n">
        <v>6.7</v>
      </c>
      <c r="D45" s="21">
        <f>B45+C45</f>
        <v/>
      </c>
      <c r="E45" s="16" t="inlineStr"/>
    </row>
    <row r="46" ht="20" customHeight="1">
      <c r="A46" s="9" t="inlineStr">
        <is>
          <t>2025年（全年）</t>
        </is>
      </c>
      <c r="B46" s="20" t="n">
        <v>6.7</v>
      </c>
      <c r="C46" s="20" t="n">
        <v>0</v>
      </c>
      <c r="D46" s="21">
        <f>B46+C46</f>
        <v/>
      </c>
      <c r="E46" s="16" t="inlineStr"/>
    </row>
    <row r="47" ht="20" customHeight="1">
      <c r="A47" s="9" t="inlineStr">
        <is>
          <t>2024年（全年）</t>
        </is>
      </c>
      <c r="B47" s="20" t="n">
        <v>0</v>
      </c>
      <c r="C47" s="20" t="n">
        <v>6.7</v>
      </c>
      <c r="D47" s="21">
        <f>B47+C47</f>
        <v/>
      </c>
      <c r="E47" s="16" t="inlineStr"/>
    </row>
    <row r="48" ht="20" customHeight="1"/>
    <row r="49" ht="20" customHeight="1">
      <c r="A49" s="7" t="inlineStr">
        <is>
          <t>五、环境数据 / Environmental Data</t>
        </is>
      </c>
      <c r="B49" s="7" t="n"/>
      <c r="C49" s="7" t="n"/>
    </row>
    <row r="50" ht="20" customHeight="1">
      <c r="A50" s="22" t="inlineStr">
        <is>
          <t>注：4P 成员需填写；2P 成员不需要填写本节。</t>
        </is>
      </c>
      <c r="B50" s="22" t="n"/>
      <c r="C50" s="22" t="n"/>
    </row>
    <row r="51" ht="20" customHeight="1">
      <c r="A51" s="8" t="inlineStr">
        <is>
          <t>指标</t>
        </is>
      </c>
      <c r="B51" s="8" t="inlineStr">
        <is>
          <t>2025年</t>
        </is>
      </c>
      <c r="C51" s="8" t="inlineStr">
        <is>
          <t>2024年</t>
        </is>
      </c>
    </row>
    <row r="52" ht="20" customHeight="1">
      <c r="A52" s="9" t="inlineStr">
        <is>
          <t>非可再生能源用电量（kWh）</t>
        </is>
      </c>
      <c r="B52" s="16" t="n">
        <v>44417</v>
      </c>
      <c r="C52" s="16" t="n">
        <v>44026</v>
      </c>
    </row>
    <row r="53" ht="20" customHeight="1">
      <c r="A53" s="9" t="inlineStr">
        <is>
          <t>可再生能源用电量（kWh）</t>
        </is>
      </c>
      <c r="B53" s="16" t="n">
        <v>0</v>
      </c>
      <c r="C53" s="16" t="n">
        <v>0</v>
      </c>
    </row>
    <row r="54" ht="20" customHeight="1">
      <c r="A54" s="9" t="inlineStr">
        <is>
          <t>总用电量（自动合计）</t>
        </is>
      </c>
      <c r="B54" s="15">
        <f>B52+B53</f>
        <v/>
      </c>
      <c r="C54" s="15">
        <f>C52+C53</f>
        <v/>
      </c>
    </row>
    <row r="55" ht="20" customHeight="1">
      <c r="A55" s="9" t="inlineStr">
        <is>
          <t>天然气总消耗量（kWh）</t>
        </is>
      </c>
      <c r="B55" s="16" t="inlineStr"/>
      <c r="C55" s="16" t="inlineStr"/>
    </row>
    <row r="56" ht="20" customHeight="1">
      <c r="A56" s="9" t="inlineStr">
        <is>
          <t>用水量（m³）</t>
        </is>
      </c>
      <c r="B56" s="16" t="n">
        <v>61</v>
      </c>
      <c r="C56" s="16" t="n">
        <v>60</v>
      </c>
    </row>
    <row r="57" ht="20" customHeight="1">
      <c r="A57" s="9" t="inlineStr">
        <is>
          <t>产生的废物总量（mt）</t>
        </is>
      </c>
      <c r="B57" s="16" t="inlineStr"/>
      <c r="C57" s="16" t="inlineStr"/>
    </row>
    <row r="58" ht="20" customHeight="1">
      <c r="A58" s="9" t="inlineStr">
        <is>
          <t>产生的危险废物总量（mt）</t>
        </is>
      </c>
      <c r="B58" s="16" t="n">
        <v>0</v>
      </c>
      <c r="C58" s="16" t="n">
        <v>0</v>
      </c>
    </row>
    <row r="59" ht="20" customHeight="1"/>
    <row r="60" ht="20" customHeight="1">
      <c r="A60" s="7" t="inlineStr">
        <is>
          <t>六、工资信息 / Wage Information</t>
        </is>
      </c>
      <c r="B60" s="7" t="n"/>
      <c r="C60" s="7" t="n"/>
      <c r="D60" s="7" t="n"/>
      <c r="E60" s="7" t="n"/>
    </row>
    <row r="61" ht="20" customHeight="1">
      <c r="A61" s="19" t="inlineStr">
        <is>
          <t>计算依据：月薪 ÷ 21.75工作日 ÷ 8小时 = 时薪；加班费时薪 = 时薪 × 1.5。仅需填入每月工资，其余自动计算。</t>
        </is>
      </c>
      <c r="B61" s="19" t="n"/>
      <c r="C61" s="19" t="n"/>
      <c r="D61" s="19" t="n"/>
      <c r="E61" s="19" t="n"/>
    </row>
    <row r="62" ht="20" customHeight="1">
      <c r="A62" s="8" t="inlineStr">
        <is>
          <t>类别</t>
        </is>
      </c>
      <c r="B62" s="8" t="inlineStr">
        <is>
          <t>每小时（元）</t>
        </is>
      </c>
      <c r="C62" s="8" t="inlineStr">
        <is>
          <t>每天（元）</t>
        </is>
      </c>
      <c r="D62" s="8" t="inlineStr">
        <is>
          <t>每周（元）</t>
        </is>
      </c>
      <c r="E62" s="8" t="inlineStr">
        <is>
          <t>每月（元）</t>
        </is>
      </c>
    </row>
    <row r="63" ht="20" customHeight="1">
      <c r="A63" s="9" t="inlineStr">
        <is>
          <t>法定最低工资</t>
        </is>
      </c>
      <c r="B63" s="23">
        <f>E63/21.75/8</f>
        <v/>
      </c>
      <c r="C63" s="23">
        <f>B63*8</f>
        <v/>
      </c>
      <c r="D63" s="23">
        <f>C63*5</f>
        <v/>
      </c>
      <c r="E63" s="10" t="n">
        <v>2500</v>
      </c>
    </row>
    <row r="64" ht="20" customHeight="1">
      <c r="A64" s="9" t="inlineStr">
        <is>
          <t>法定最低加班费（时薪 × 1.5）</t>
        </is>
      </c>
      <c r="B64" s="23">
        <f>B63*1.5</f>
        <v/>
      </c>
      <c r="C64" s="24" t="inlineStr">
        <is>
          <t>日/周加班费请按实际加班时数另行计算</t>
        </is>
      </c>
      <c r="D64" s="24" t="n"/>
      <c r="E64" s="24" t="n"/>
    </row>
    <row r="65" ht="20" customHeight="1"/>
    <row r="66" ht="20" customHeight="1">
      <c r="A66" s="9" t="inlineStr">
        <is>
          <t>工厂实际给的最低工资</t>
        </is>
      </c>
      <c r="B66" s="23">
        <f>E66/21.75/8</f>
        <v/>
      </c>
      <c r="C66" s="23">
        <f>B66*8</f>
        <v/>
      </c>
      <c r="D66" s="23">
        <f>C66*5</f>
        <v/>
      </c>
      <c r="E66" s="10" t="n">
        <v>2500</v>
      </c>
    </row>
    <row r="67" ht="20" customHeight="1">
      <c r="A67" s="9" t="inlineStr">
        <is>
          <t>工厂实际最低加班费（时薪 × 1.5）</t>
        </is>
      </c>
      <c r="B67" s="23">
        <f>B66*1.5</f>
        <v/>
      </c>
      <c r="C67" s="24" t="inlineStr">
        <is>
          <t>日/周加班费请按实际加班时数另行计算</t>
        </is>
      </c>
      <c r="D67" s="24" t="n"/>
      <c r="E67" s="24" t="n"/>
    </row>
    <row r="68" ht="20" customHeight="1"/>
    <row r="69" ht="20" customHeight="1">
      <c r="A69" s="25" t="inlineStr">
        <is>
          <t>法定 vs 实际对比</t>
        </is>
      </c>
      <c r="B69" s="26">
        <f>IF(ISNUMBER(B66-B63),"实际"&amp;IF(B66-B63&gt;=0,"+","")&amp;TEXT(B66-B63,"0.00"),"-")</f>
        <v/>
      </c>
      <c r="C69" s="26">
        <f>IF(ISNUMBER(C66-C63),"实际"&amp;IF(C66-C63&gt;=0,"+","")&amp;TEXT(C66-C63,"0.00"),"-")</f>
        <v/>
      </c>
      <c r="D69" s="26">
        <f>IF(ISNUMBER(D66-D63),"实际"&amp;IF(D66-D63&gt;=0,"+","")&amp;TEXT(D66-D63,"0.00"),"-")</f>
        <v/>
      </c>
      <c r="E69" s="26">
        <f>IF(ISNUMBER(E66-E63),"实际"&amp;IF(E66-E63&gt;=0,"+","")&amp;TEXT(E66-E63,"0"),"-")</f>
        <v/>
      </c>
    </row>
    <row r="70" ht="20" customHeight="1"/>
    <row r="71" ht="20" customHeight="1">
      <c r="A71" s="7" t="inlineStr">
        <is>
          <t>七、厂房信息 / Factory Building Information</t>
        </is>
      </c>
      <c r="B71" s="7" t="n"/>
      <c r="C71" s="7" t="n"/>
      <c r="D71" s="7" t="n"/>
    </row>
    <row r="72" ht="20" customHeight="1">
      <c r="A72" s="27" t="inlineStr">
        <is>
          <t>厂房 1 / Building 1</t>
        </is>
      </c>
      <c r="B72" s="27" t="n"/>
      <c r="C72" s="27" t="n"/>
      <c r="D72" s="27" t="n"/>
    </row>
    <row r="73" ht="20" customHeight="1">
      <c r="A73" s="9" t="inlineStr">
        <is>
          <t>哪一年竣工？（Year of completion）</t>
        </is>
      </c>
      <c r="B73" s="28" t="n">
        <v>2010</v>
      </c>
      <c r="C73" s="28" t="n"/>
      <c r="D73" s="28" t="n"/>
    </row>
    <row r="74" ht="20" customHeight="1">
      <c r="A74" s="9" t="inlineStr">
        <is>
          <t>总建筑面积（Total floor area）</t>
        </is>
      </c>
      <c r="B74" s="28" t="inlineStr">
        <is>
          <t>工厂只用400平米</t>
        </is>
      </c>
      <c r="C74" s="28" t="n"/>
      <c r="D74" s="28" t="n"/>
    </row>
    <row r="75" ht="20" customHeight="1">
      <c r="A75" s="9" t="inlineStr">
        <is>
          <t>楼层布局（每层用途 / 生产流程）</t>
        </is>
      </c>
      <c r="B75" s="28" t="inlineStr">
        <is>
          <t>cutting, sewing, ironing, inspection and packing</t>
        </is>
      </c>
      <c r="C75" s="28" t="n"/>
      <c r="D75" s="28" t="n"/>
    </row>
    <row r="76" ht="20" customHeight="1"/>
    <row r="77" ht="20" customHeight="1">
      <c r="A77" s="27" t="inlineStr">
        <is>
          <t>厂房 2 / Building 2（如有）</t>
        </is>
      </c>
      <c r="B77" s="27" t="n"/>
      <c r="C77" s="27" t="n"/>
      <c r="D77" s="27" t="n"/>
    </row>
    <row r="78" ht="20" customHeight="1">
      <c r="A78" s="9" t="inlineStr">
        <is>
          <t>哪一年竣工？</t>
        </is>
      </c>
      <c r="B78" s="28" t="inlineStr"/>
      <c r="C78" s="28" t="n"/>
      <c r="D78" s="28" t="n"/>
    </row>
    <row r="79" ht="20" customHeight="1">
      <c r="A79" s="9" t="inlineStr">
        <is>
          <t>总建筑面积</t>
        </is>
      </c>
      <c r="B79" s="28" t="inlineStr"/>
      <c r="C79" s="28" t="n"/>
      <c r="D79" s="28" t="n"/>
    </row>
    <row r="80" ht="20" customHeight="1">
      <c r="A80" s="9" t="inlineStr">
        <is>
          <t>楼层布局</t>
        </is>
      </c>
      <c r="B80" s="28" t="inlineStr"/>
      <c r="C80" s="28" t="n"/>
      <c r="D80" s="28" t="n"/>
    </row>
    <row r="81" ht="20" customHeight="1"/>
    <row r="82" ht="20" customHeight="1">
      <c r="A82" s="29" t="inlineStr">
        <is>
          <t>如有更多楼栋，请按上方格式继续填写。</t>
        </is>
      </c>
      <c r="B82" s="29" t="n"/>
      <c r="C82" s="29" t="n"/>
      <c r="D82" s="29" t="n"/>
    </row>
  </sheetData>
  <mergeCells count="41">
    <mergeCell ref="F11:G11"/>
    <mergeCell ref="F18:H18"/>
    <mergeCell ref="A17:A19"/>
    <mergeCell ref="A60:E60"/>
    <mergeCell ref="A72:D72"/>
    <mergeCell ref="B73:D73"/>
    <mergeCell ref="F17:H17"/>
    <mergeCell ref="A1:H1"/>
    <mergeCell ref="A50:C50"/>
    <mergeCell ref="A61:E61"/>
    <mergeCell ref="A28:D28"/>
    <mergeCell ref="B78:D78"/>
    <mergeCell ref="A6:H6"/>
    <mergeCell ref="C4:D4"/>
    <mergeCell ref="E4:F4"/>
    <mergeCell ref="F12:G12"/>
    <mergeCell ref="F15:G15"/>
    <mergeCell ref="A77:D77"/>
    <mergeCell ref="C16:G16"/>
    <mergeCell ref="B74:D74"/>
    <mergeCell ref="A82:D82"/>
    <mergeCell ref="A10:A16"/>
    <mergeCell ref="A37:D40"/>
    <mergeCell ref="C67:E67"/>
    <mergeCell ref="C12:D12"/>
    <mergeCell ref="B80:D80"/>
    <mergeCell ref="B79:D79"/>
    <mergeCell ref="A2:H2"/>
    <mergeCell ref="A42:E42"/>
    <mergeCell ref="F13:G13"/>
    <mergeCell ref="B75:D75"/>
    <mergeCell ref="A22:E22"/>
    <mergeCell ref="H10:H16"/>
    <mergeCell ref="A8:H8"/>
    <mergeCell ref="A4:B4"/>
    <mergeCell ref="A49:C49"/>
    <mergeCell ref="F19:H19"/>
    <mergeCell ref="A43:E43"/>
    <mergeCell ref="C64:E64"/>
    <mergeCell ref="F14:G14"/>
    <mergeCell ref="A71:D7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2026-05-19T13:07:33Z</dcterms:created>
  <dcterms:modified xmlns:dcterms="http://purl.org/dc/terms/" xmlns:xsi="http://www.w3.org/2001/XMLSchema-instance" xsi:type="dcterms:W3CDTF">2026-05-19T13:07:33Z</dcterms:modified>
</cp:coreProperties>
</file>